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inance\Debtors\RINA\WOOLWORTHS\"/>
    </mc:Choice>
  </mc:AlternateContent>
  <xr:revisionPtr revIDLastSave="0" documentId="8_{0253C235-812D-48F0-85C0-D638CBE15E74}" xr6:coauthVersionLast="47" xr6:coauthVersionMax="47" xr10:uidLastSave="{00000000-0000-0000-0000-000000000000}"/>
  <bookViews>
    <workbookView xWindow="-20610" yWindow="1575" windowWidth="20730" windowHeight="11160" activeTab="1" xr2:uid="{00000000-000D-0000-FFFF-FFFF00000000}"/>
  </bookViews>
  <sheets>
    <sheet name="RemittanceAdvice" sheetId="1" r:id="rId1"/>
    <sheet name="pivot zzsd TT" sheetId="3" r:id="rId2"/>
    <sheet name="zzsd" sheetId="2" r:id="rId3"/>
  </sheets>
  <calcPr calcId="191029"/>
  <pivotCaches>
    <pivotCache cacheId="2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3" l="1"/>
</calcChain>
</file>

<file path=xl/sharedStrings.xml><?xml version="1.0" encoding="utf-8"?>
<sst xmlns="http://schemas.openxmlformats.org/spreadsheetml/2006/main" count="916" uniqueCount="134">
  <si>
    <t>Woolworths (Pty) Ltd - Woolworths Remittance Advices</t>
  </si>
  <si>
    <t>Supplier Number</t>
  </si>
  <si>
    <t xml:space="preserve">14887               </t>
  </si>
  <si>
    <t>Supplier Name</t>
  </si>
  <si>
    <t xml:space="preserve">DIPLOMAT DISTRIBUTORS SA                                                                            </t>
  </si>
  <si>
    <t>Address</t>
  </si>
  <si>
    <t xml:space="preserve">8 COROBRIK ROAD                                   </t>
  </si>
  <si>
    <t>123</t>
  </si>
  <si>
    <t xml:space="preserve">JOHANNESBURG  1416                                </t>
  </si>
  <si>
    <t>Cheque Number</t>
  </si>
  <si>
    <t xml:space="preserve">2333457        </t>
  </si>
  <si>
    <t>Remittance Date</t>
  </si>
  <si>
    <t>05 Jan 2024</t>
  </si>
  <si>
    <t>Discount</t>
  </si>
  <si>
    <t xml:space="preserve">Immediate </t>
  </si>
  <si>
    <t>Document Date</t>
  </si>
  <si>
    <t>Document Number</t>
  </si>
  <si>
    <t>Document Type</t>
  </si>
  <si>
    <t>Internal Reference Number</t>
  </si>
  <si>
    <t>Branch</t>
  </si>
  <si>
    <t>Gross</t>
  </si>
  <si>
    <t>Nett</t>
  </si>
  <si>
    <t>Currency</t>
  </si>
  <si>
    <t>20 Nov 2023</t>
  </si>
  <si>
    <t xml:space="preserve">MKA20231120         </t>
  </si>
  <si>
    <t>MKA</t>
  </si>
  <si>
    <t/>
  </si>
  <si>
    <t>-1,017.71</t>
  </si>
  <si>
    <t>.00</t>
  </si>
  <si>
    <t>ZAR</t>
  </si>
  <si>
    <t>24 Nov 2023</t>
  </si>
  <si>
    <t xml:space="preserve">DBM3133709076       </t>
  </si>
  <si>
    <t>DBM</t>
  </si>
  <si>
    <t>68067222</t>
  </si>
  <si>
    <t>602</t>
  </si>
  <si>
    <t>-19,877.52</t>
  </si>
  <si>
    <t>-496.94</t>
  </si>
  <si>
    <t>-19,380.58</t>
  </si>
  <si>
    <t xml:space="preserve">3003704958          </t>
  </si>
  <si>
    <t>INV</t>
  </si>
  <si>
    <t>62,275.84</t>
  </si>
  <si>
    <t>1,556.90</t>
  </si>
  <si>
    <t>60,718.94</t>
  </si>
  <si>
    <t>22 Nov 2023</t>
  </si>
  <si>
    <t xml:space="preserve">3003702570          </t>
  </si>
  <si>
    <t>68043590</t>
  </si>
  <si>
    <t>607</t>
  </si>
  <si>
    <t>166,950.94</t>
  </si>
  <si>
    <t>4,173.77</t>
  </si>
  <si>
    <t>162,777.17</t>
  </si>
  <si>
    <t>Total</t>
  </si>
  <si>
    <t>208,331.55</t>
  </si>
  <si>
    <t>5,233.73</t>
  </si>
  <si>
    <t>203,097.82</t>
  </si>
  <si>
    <t>Payer</t>
  </si>
  <si>
    <t>Sold-to Name</t>
  </si>
  <si>
    <t>Bill</t>
  </si>
  <si>
    <t>DocCa</t>
  </si>
  <si>
    <t>DocumentNo</t>
  </si>
  <si>
    <t>Bill.Doc.</t>
  </si>
  <si>
    <t>Payer's Name</t>
  </si>
  <si>
    <t>Billing Date</t>
  </si>
  <si>
    <t>Sold-to party</t>
  </si>
  <si>
    <t>Item</t>
  </si>
  <si>
    <t>Billed Quantity</t>
  </si>
  <si>
    <t>SU</t>
  </si>
  <si>
    <t>Net value</t>
  </si>
  <si>
    <t>Curr.</t>
  </si>
  <si>
    <t>Material</t>
  </si>
  <si>
    <t>Sales unit</t>
  </si>
  <si>
    <t>Material Description</t>
  </si>
  <si>
    <t>Stat</t>
  </si>
  <si>
    <t>Accr.</t>
  </si>
  <si>
    <t>Condition value</t>
  </si>
  <si>
    <t>Inact</t>
  </si>
  <si>
    <t>Amount</t>
  </si>
  <si>
    <t>Unit</t>
  </si>
  <si>
    <t>CnTy</t>
  </si>
  <si>
    <t>Condition Type Desc</t>
  </si>
  <si>
    <t>Percentage</t>
  </si>
  <si>
    <t>Actual Value</t>
  </si>
  <si>
    <t>Condition base value</t>
  </si>
  <si>
    <t>Condition class</t>
  </si>
  <si>
    <t>80000225</t>
  </si>
  <si>
    <t>10022731</t>
  </si>
  <si>
    <t>ZEDI</t>
  </si>
  <si>
    <t>M</t>
  </si>
  <si>
    <t>3003704958</t>
  </si>
  <si>
    <t>WOOLWORTHS PTY LTD</t>
  </si>
  <si>
    <t>WOOLWORTHS MONTAGUE GARDENS</t>
  </si>
  <si>
    <t>10</t>
  </si>
  <si>
    <t>CAR</t>
  </si>
  <si>
    <t>2547582</t>
  </si>
  <si>
    <t>Carton</t>
  </si>
  <si>
    <t>HEINZ TOMATO KETCHUP 10X570G</t>
  </si>
  <si>
    <t>Z800</t>
  </si>
  <si>
    <t>List Price</t>
  </si>
  <si>
    <t>3</t>
  </si>
  <si>
    <t>Prices</t>
  </si>
  <si>
    <t>Z870</t>
  </si>
  <si>
    <t>Manual Field Discoun</t>
  </si>
  <si>
    <t>Discount or surcharge</t>
  </si>
  <si>
    <t>Z872</t>
  </si>
  <si>
    <t>TFI Manual discount</t>
  </si>
  <si>
    <t>X</t>
  </si>
  <si>
    <t>Z910</t>
  </si>
  <si>
    <t>Trade Rebate Accrual</t>
  </si>
  <si>
    <t>Z922</t>
  </si>
  <si>
    <t>No Returns Accruals</t>
  </si>
  <si>
    <t>Z924</t>
  </si>
  <si>
    <t>No Rejections Accrua</t>
  </si>
  <si>
    <t>Z928</t>
  </si>
  <si>
    <t>Merch.&amp;Shelf S Accru</t>
  </si>
  <si>
    <t>Z923</t>
  </si>
  <si>
    <t>Advance Logistic Acc</t>
  </si>
  <si>
    <t>Z950</t>
  </si>
  <si>
    <t>Payment Terms Accrua</t>
  </si>
  <si>
    <t>Z952</t>
  </si>
  <si>
    <t>DSA Hotzone Accrual</t>
  </si>
  <si>
    <t>Z953</t>
  </si>
  <si>
    <t>DSA Display</t>
  </si>
  <si>
    <t>MWST</t>
  </si>
  <si>
    <t>Output Tax</t>
  </si>
  <si>
    <t>Taxes</t>
  </si>
  <si>
    <t>ZATP</t>
  </si>
  <si>
    <t>Minimum Conf Value</t>
  </si>
  <si>
    <t>VPRS</t>
  </si>
  <si>
    <t>Internal price</t>
  </si>
  <si>
    <t>20</t>
  </si>
  <si>
    <t>2544597</t>
  </si>
  <si>
    <t>HP SAUCES 12X255G</t>
  </si>
  <si>
    <t>Row Labels</t>
  </si>
  <si>
    <t>Grand Total</t>
  </si>
  <si>
    <t>Average of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</si>
</sst>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000000"/>
      <name val="Tahoma"/>
      <family val="2"/>
    </font>
    <font>
      <b/>
      <sz val="6.5"/>
      <color rgb="FFFFFFFF"/>
      <name val="Tahoma"/>
      <family val="2"/>
    </font>
    <font>
      <sz val="6.5"/>
      <color rgb="FF4D4D4D"/>
      <name val="Tahoma"/>
      <family val="2"/>
    </font>
    <font>
      <b/>
      <sz val="6.5"/>
      <color rgb="FF4C68A2"/>
      <name val="Tahoma"/>
      <family val="2"/>
    </font>
    <font>
      <b/>
      <sz val="6.5"/>
      <color rgb="FF4D4D4D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4" fillId="0" borderId="3" xfId="0" applyFont="1" applyBorder="1" applyAlignment="1">
      <alignment vertical="top" wrapText="1" readingOrder="1"/>
    </xf>
    <xf numFmtId="0" fontId="4" fillId="0" borderId="3" xfId="0" applyFont="1" applyBorder="1" applyAlignment="1">
      <alignment horizontal="right" vertical="top" wrapText="1" readingOrder="1"/>
    </xf>
    <xf numFmtId="0" fontId="6" fillId="0" borderId="3" xfId="0" applyFont="1" applyBorder="1" applyAlignment="1">
      <alignment vertical="top" wrapText="1" readingOrder="1"/>
    </xf>
    <xf numFmtId="0" fontId="6" fillId="0" borderId="3" xfId="0" applyFont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0" fillId="3" borderId="6" xfId="0" applyFill="1" applyBorder="1" applyAlignment="1">
      <alignment vertical="top"/>
    </xf>
    <xf numFmtId="0" fontId="0" fillId="3" borderId="6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4" borderId="6" xfId="0" applyFill="1" applyBorder="1" applyAlignment="1">
      <alignment vertical="top"/>
    </xf>
    <xf numFmtId="14" fontId="0" fillId="4" borderId="6" xfId="0" applyNumberFormat="1" applyFill="1" applyBorder="1" applyAlignment="1">
      <alignment horizontal="right" vertical="top"/>
    </xf>
    <xf numFmtId="3" fontId="0" fillId="4" borderId="6" xfId="0" applyNumberFormat="1" applyFill="1" applyBorder="1" applyAlignment="1">
      <alignment horizontal="right" vertical="top"/>
    </xf>
    <xf numFmtId="4" fontId="0" fillId="4" borderId="6" xfId="0" applyNumberFormat="1" applyFill="1" applyBorder="1" applyAlignment="1">
      <alignment horizontal="right" vertical="top"/>
    </xf>
    <xf numFmtId="164" fontId="0" fillId="4" borderId="6" xfId="0" applyNumberFormat="1" applyFill="1" applyBorder="1" applyAlignment="1">
      <alignment horizontal="right" vertical="top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79</xdr:row>
      <xdr:rowOff>0</xdr:rowOff>
    </xdr:from>
    <xdr:to>
      <xdr:col>15</xdr:col>
      <xdr:colOff>436724</xdr:colOff>
      <xdr:row>96</xdr:row>
      <xdr:rowOff>85323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07344B-5FBF-9D47-C2AA-C783789EB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61100"/>
          <a:ext cx="11409524" cy="32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20</xdr:col>
      <xdr:colOff>514350</xdr:colOff>
      <xdr:row>28</xdr:row>
      <xdr:rowOff>34925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F0B0EE-BE0F-51DF-E612-AD5A167CD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0"/>
          <a:ext cx="10267950" cy="5191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17</xdr:col>
      <xdr:colOff>514350</xdr:colOff>
      <xdr:row>78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F298CD-441F-B9BA-64BD-F541F86CF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5340350"/>
          <a:ext cx="8439150" cy="91630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na De Beer" refreshedDate="45300.408690856479" createdVersion="8" refreshedVersion="8" minRefreshableVersion="3" recordCount="28" xr:uid="{F4F32B97-C089-424E-A8F3-97F942C65B17}">
  <cacheSource type="worksheet">
    <worksheetSource ref="A1:AH29" sheet="zzsd"/>
  </cacheSource>
  <cacheFields count="34">
    <cacheField name="Payer" numFmtId="0">
      <sharedItems/>
    </cacheField>
    <cacheField name="Sold-to Name" numFmtId="0">
      <sharedItems/>
    </cacheField>
    <cacheField name="Bill" numFmtId="0">
      <sharedItems/>
    </cacheField>
    <cacheField name="DocCa" numFmtId="0">
      <sharedItems/>
    </cacheField>
    <cacheField name="DocumentNo" numFmtId="0">
      <sharedItems/>
    </cacheField>
    <cacheField name="Bill.Doc." numFmtId="0">
      <sharedItems/>
    </cacheField>
    <cacheField name="Payer's Name" numFmtId="0">
      <sharedItems/>
    </cacheField>
    <cacheField name="Billing Date" numFmtId="14">
      <sharedItems containsSemiMixedTypes="0" containsNonDate="0" containsDate="1" containsString="0" minDate="2023-11-24T00:00:00" maxDate="2023-11-25T00:00:00"/>
    </cacheField>
    <cacheField name="Sold-to party" numFmtId="0">
      <sharedItems/>
    </cacheField>
    <cacheField name="Item" numFmtId="0">
      <sharedItems/>
    </cacheField>
    <cacheField name="Billed Quantity" numFmtId="3">
      <sharedItems containsSemiMixedTypes="0" containsString="0" containsNumber="1" containsInteger="1" minValue="40" maxValue="102"/>
    </cacheField>
    <cacheField name="SU" numFmtId="0">
      <sharedItems/>
    </cacheField>
    <cacheField name="SU2" numFmtId="0">
      <sharedItems/>
    </cacheField>
    <cacheField name="Net value" numFmtId="4">
      <sharedItems containsSemiMixedTypes="0" containsString="0" containsNumber="1" minValue="17284" maxValue="36868.92"/>
    </cacheField>
    <cacheField name="Curr." numFmtId="0">
      <sharedItems/>
    </cacheField>
    <cacheField name="Material" numFmtId="0">
      <sharedItems/>
    </cacheField>
    <cacheField name="Sales unit" numFmtId="0">
      <sharedItems/>
    </cacheField>
    <cacheField name="Material Description" numFmtId="0">
      <sharedItems/>
    </cacheField>
    <cacheField name="Stat" numFmtId="0">
      <sharedItems/>
    </cacheField>
    <cacheField name="Accr." numFmtId="0">
      <sharedItems/>
    </cacheField>
    <cacheField name="Condition value" numFmtId="4">
      <sharedItems containsSemiMixedTypes="0" containsString="0" containsNumber="1" minValue="-1954.05" maxValue="36868.92"/>
    </cacheField>
    <cacheField name="Curr.2" numFmtId="0">
      <sharedItems/>
    </cacheField>
    <cacheField name="Inact" numFmtId="0">
      <sharedItems/>
    </cacheField>
    <cacheField name="Amount" numFmtId="0">
      <sharedItems containsSemiMixedTypes="0" containsString="0" containsNumber="1" minValue="-5.3" maxValue="432.1"/>
    </cacheField>
    <cacheField name="Unit" numFmtId="0">
      <sharedItems/>
    </cacheField>
    <cacheField name="CnTy" numFmtId="0">
      <sharedItems count="14">
        <s v="Z800"/>
        <s v="Z870"/>
        <s v="Z872"/>
        <s v="Z910"/>
        <s v="Z922"/>
        <s v="Z924"/>
        <s v="Z928"/>
        <s v="Z923"/>
        <s v="Z950"/>
        <s v="Z952"/>
        <s v="Z953"/>
        <s v="MWST"/>
        <s v="ZATP"/>
        <s v="VPRS"/>
      </sharedItems>
    </cacheField>
    <cacheField name="Condition Type Desc" numFmtId="0">
      <sharedItems count="14">
        <s v="List Price"/>
        <s v="Manual Field Discoun"/>
        <s v="TFI Manual discount"/>
        <s v="Trade Rebate Accrual"/>
        <s v="No Returns Accruals"/>
        <s v="No Rejections Accrua"/>
        <s v="Merch.&amp;Shelf S Accru"/>
        <s v="Advance Logistic Acc"/>
        <s v="Payment Terms Accrua"/>
        <s v="DSA Hotzone Accrual"/>
        <s v="DSA Display"/>
        <s v="Output Tax"/>
        <s v="Minimum Conf Value"/>
        <s v="Internal price"/>
      </sharedItems>
    </cacheField>
    <cacheField name="Percentage" numFmtId="4">
      <sharedItems containsSemiMixedTypes="0" containsString="0" containsNumber="1" minValue="-5.3" maxValue="90"/>
    </cacheField>
    <cacheField name="Unit2" numFmtId="0">
      <sharedItems/>
    </cacheField>
    <cacheField name="Actual Value" numFmtId="4">
      <sharedItems containsSemiMixedTypes="0" containsString="0" containsNumber="1" minValue="-1954.05" maxValue="36868.92"/>
    </cacheField>
    <cacheField name="Curr.3" numFmtId="0">
      <sharedItems/>
    </cacheField>
    <cacheField name="Condition base value" numFmtId="0">
      <sharedItems containsSemiMixedTypes="0" containsString="0" containsNumber="1" minValue="40" maxValue="36868.92"/>
    </cacheField>
    <cacheField name="Unit3" numFmtId="0">
      <sharedItems/>
    </cacheField>
    <cacheField name="Condition cla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"/>
    <s v=""/>
    <n v="36868.92"/>
    <s v="ZAR"/>
    <s v=""/>
    <n v="361.46"/>
    <s v="ZAR"/>
    <x v="0"/>
    <x v="0"/>
    <n v="0"/>
    <s v=""/>
    <n v="36868.92"/>
    <s v="ZAR"/>
    <n v="102"/>
    <s v="3"/>
    <s v="Prices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"/>
    <s v=""/>
    <n v="0"/>
    <s v="ZAR"/>
    <s v=""/>
    <n v="0"/>
    <s v="3"/>
    <x v="1"/>
    <x v="1"/>
    <n v="0"/>
    <s v=""/>
    <n v="0"/>
    <s v="ZAR"/>
    <n v="36868.92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"/>
    <s v=""/>
    <n v="0"/>
    <s v="ZAR"/>
    <s v=""/>
    <n v="0"/>
    <s v="3"/>
    <x v="2"/>
    <x v="2"/>
    <n v="0"/>
    <s v=""/>
    <n v="0"/>
    <s v="ZAR"/>
    <n v="36868.92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X"/>
    <s v="X"/>
    <n v="-1843.45"/>
    <s v="ZAR"/>
    <s v=""/>
    <n v="-5"/>
    <s v="3"/>
    <x v="3"/>
    <x v="3"/>
    <n v="-5"/>
    <s v=""/>
    <n v="-1843.45"/>
    <s v="ZAR"/>
    <n v="36868.92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X"/>
    <s v="X"/>
    <n v="-258.08"/>
    <s v="ZAR"/>
    <s v=""/>
    <n v="-0.7"/>
    <s v="3"/>
    <x v="4"/>
    <x v="4"/>
    <n v="-0.7"/>
    <s v=""/>
    <n v="-258.08"/>
    <s v="ZAR"/>
    <n v="36868.92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X"/>
    <s v="X"/>
    <n v="-553.03"/>
    <s v="ZAR"/>
    <s v=""/>
    <n v="-1.5"/>
    <s v="3"/>
    <x v="5"/>
    <x v="5"/>
    <n v="-1.5"/>
    <s v=""/>
    <n v="-553.03"/>
    <s v="ZAR"/>
    <n v="36868.92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X"/>
    <s v="X"/>
    <n v="-1954.05"/>
    <s v="ZAR"/>
    <s v=""/>
    <n v="-5.3"/>
    <s v="3"/>
    <x v="6"/>
    <x v="6"/>
    <n v="-5.3"/>
    <s v=""/>
    <n v="-1954.05"/>
    <s v="ZAR"/>
    <n v="36868.92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X"/>
    <s v="X"/>
    <n v="-811.12"/>
    <s v="ZAR"/>
    <s v=""/>
    <n v="-2.2000000000000002"/>
    <s v="3"/>
    <x v="7"/>
    <x v="7"/>
    <n v="-2.2000000000000002"/>
    <s v=""/>
    <n v="-811.12"/>
    <s v="ZAR"/>
    <n v="36868.92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X"/>
    <s v="X"/>
    <n v="-921.72"/>
    <s v="ZAR"/>
    <s v=""/>
    <n v="-2.5"/>
    <s v="3"/>
    <x v="8"/>
    <x v="8"/>
    <n v="-2.5"/>
    <s v=""/>
    <n v="-921.72"/>
    <s v="ZAR"/>
    <n v="36868.92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X"/>
    <s v="X"/>
    <n v="-73.739999999999995"/>
    <s v="ZAR"/>
    <s v=""/>
    <n v="-0.2"/>
    <s v="3"/>
    <x v="9"/>
    <x v="9"/>
    <n v="-0.2"/>
    <s v=""/>
    <n v="-73.739999999999995"/>
    <s v="ZAR"/>
    <n v="36868.92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X"/>
    <s v="X"/>
    <n v="-221.21"/>
    <s v="ZAR"/>
    <s v=""/>
    <n v="-0.6"/>
    <s v="3"/>
    <x v="10"/>
    <x v="10"/>
    <n v="-0.6"/>
    <s v=""/>
    <n v="-221.21"/>
    <s v="ZAR"/>
    <n v="36868.92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"/>
    <s v=""/>
    <n v="5530.34"/>
    <s v="ZAR"/>
    <s v=""/>
    <n v="15"/>
    <s v="3"/>
    <x v="11"/>
    <x v="11"/>
    <n v="15"/>
    <s v=""/>
    <n v="5530.34"/>
    <s v="ZAR"/>
    <n v="36868.92"/>
    <s v="ZAR"/>
    <s v="Taxes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X"/>
    <s v=""/>
    <n v="32186.57"/>
    <s v="ZAR"/>
    <s v=""/>
    <n v="90"/>
    <s v="3"/>
    <x v="12"/>
    <x v="12"/>
    <n v="90"/>
    <s v=""/>
    <n v="32186.57"/>
    <s v="ZAR"/>
    <n v="35762.86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10"/>
    <n v="102"/>
    <s v="CAR"/>
    <s v="CAR"/>
    <n v="36868.92"/>
    <s v="ZAR"/>
    <s v="2547582"/>
    <s v="Carton"/>
    <s v="HEINZ TOMATO KETCHUP 10X570G"/>
    <s v="X"/>
    <s v=""/>
    <n v="27509.4"/>
    <s v="ZAR"/>
    <s v=""/>
    <n v="269.7"/>
    <s v="ZAR"/>
    <x v="13"/>
    <x v="13"/>
    <n v="0"/>
    <s v=""/>
    <n v="27509.4"/>
    <s v="ZAR"/>
    <n v="102"/>
    <s v="3"/>
    <s v="Prices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"/>
    <s v=""/>
    <n v="17284"/>
    <s v="ZAR"/>
    <s v=""/>
    <n v="432.1"/>
    <s v="ZAR"/>
    <x v="0"/>
    <x v="0"/>
    <n v="0"/>
    <s v=""/>
    <n v="17284"/>
    <s v="ZAR"/>
    <n v="40"/>
    <s v="3"/>
    <s v="Prices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"/>
    <s v=""/>
    <n v="0"/>
    <s v="ZAR"/>
    <s v=""/>
    <n v="0"/>
    <s v="3"/>
    <x v="1"/>
    <x v="1"/>
    <n v="0"/>
    <s v=""/>
    <n v="0"/>
    <s v="ZAR"/>
    <n v="17284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"/>
    <s v=""/>
    <n v="0"/>
    <s v="ZAR"/>
    <s v=""/>
    <n v="0"/>
    <s v="3"/>
    <x v="2"/>
    <x v="2"/>
    <n v="0"/>
    <s v=""/>
    <n v="0"/>
    <s v="ZAR"/>
    <n v="17284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X"/>
    <s v="X"/>
    <n v="-864.2"/>
    <s v="ZAR"/>
    <s v=""/>
    <n v="-5"/>
    <s v="3"/>
    <x v="3"/>
    <x v="3"/>
    <n v="-5"/>
    <s v=""/>
    <n v="-864.2"/>
    <s v="ZAR"/>
    <n v="17284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X"/>
    <s v="X"/>
    <n v="-120.99"/>
    <s v="ZAR"/>
    <s v=""/>
    <n v="-0.7"/>
    <s v="3"/>
    <x v="4"/>
    <x v="4"/>
    <n v="-0.7"/>
    <s v=""/>
    <n v="-120.99"/>
    <s v="ZAR"/>
    <n v="17284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X"/>
    <s v="X"/>
    <n v="-259.26"/>
    <s v="ZAR"/>
    <s v=""/>
    <n v="-1.5"/>
    <s v="3"/>
    <x v="5"/>
    <x v="5"/>
    <n v="-1.5"/>
    <s v=""/>
    <n v="-259.26"/>
    <s v="ZAR"/>
    <n v="17284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X"/>
    <s v="X"/>
    <n v="-916.05"/>
    <s v="ZAR"/>
    <s v=""/>
    <n v="-5.3"/>
    <s v="3"/>
    <x v="6"/>
    <x v="6"/>
    <n v="-5.3"/>
    <s v=""/>
    <n v="-916.05"/>
    <s v="ZAR"/>
    <n v="17284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X"/>
    <s v="X"/>
    <n v="-380.25"/>
    <s v="ZAR"/>
    <s v=""/>
    <n v="-2.2000000000000002"/>
    <s v="3"/>
    <x v="7"/>
    <x v="7"/>
    <n v="-2.2000000000000002"/>
    <s v=""/>
    <n v="-380.25"/>
    <s v="ZAR"/>
    <n v="17284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X"/>
    <s v="X"/>
    <n v="-432.1"/>
    <s v="ZAR"/>
    <s v=""/>
    <n v="-2.5"/>
    <s v="3"/>
    <x v="8"/>
    <x v="8"/>
    <n v="-2.5"/>
    <s v=""/>
    <n v="-432.1"/>
    <s v="ZAR"/>
    <n v="17284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X"/>
    <s v="X"/>
    <n v="-34.57"/>
    <s v="ZAR"/>
    <s v=""/>
    <n v="-0.2"/>
    <s v="3"/>
    <x v="9"/>
    <x v="9"/>
    <n v="-0.2"/>
    <s v=""/>
    <n v="-34.57"/>
    <s v="ZAR"/>
    <n v="17284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X"/>
    <s v="X"/>
    <n v="-103.7"/>
    <s v="ZAR"/>
    <s v=""/>
    <n v="-0.6"/>
    <s v="3"/>
    <x v="10"/>
    <x v="10"/>
    <n v="-0.6"/>
    <s v=""/>
    <n v="-103.7"/>
    <s v="ZAR"/>
    <n v="17284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"/>
    <s v=""/>
    <n v="2592.6"/>
    <s v="ZAR"/>
    <s v=""/>
    <n v="15"/>
    <s v="3"/>
    <x v="11"/>
    <x v="11"/>
    <n v="15"/>
    <s v=""/>
    <n v="2592.6"/>
    <s v="ZAR"/>
    <n v="17284"/>
    <s v="ZAR"/>
    <s v="Taxes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X"/>
    <s v=""/>
    <n v="15088.93"/>
    <s v="ZAR"/>
    <s v=""/>
    <n v="90"/>
    <s v="3"/>
    <x v="12"/>
    <x v="12"/>
    <n v="90"/>
    <s v=""/>
    <n v="15088.93"/>
    <s v="ZAR"/>
    <n v="16765.48"/>
    <s v="ZAR"/>
    <s v="Discount or surcharge"/>
  </r>
  <r>
    <s v="80000225"/>
    <s v="10022731"/>
    <s v="ZEDI"/>
    <s v="M"/>
    <s v=""/>
    <s v="3003704958"/>
    <s v="WOOLWORTHS PTY LTD"/>
    <d v="2023-11-24T00:00:00"/>
    <s v="WOOLWORTHS MONTAGUE GARDENS"/>
    <s v="20"/>
    <n v="40"/>
    <s v="CAR"/>
    <s v="CAR"/>
    <n v="17284"/>
    <s v="ZAR"/>
    <s v="2544597"/>
    <s v="Carton"/>
    <s v="HP SAUCES 12X255G"/>
    <s v="X"/>
    <s v=""/>
    <n v="10953.6"/>
    <s v="ZAR"/>
    <s v=""/>
    <n v="273.83999999999997"/>
    <s v="ZAR"/>
    <x v="13"/>
    <x v="13"/>
    <n v="0"/>
    <s v=""/>
    <n v="10953.6"/>
    <s v="ZAR"/>
    <n v="40"/>
    <s v="3"/>
    <s v="Pric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A58F6-E19A-46FA-89FC-5EAEA0416237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3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axis="axisRow" showAll="0">
      <items count="15">
        <item x="11"/>
        <item x="13"/>
        <item x="0"/>
        <item x="1"/>
        <item x="2"/>
        <item x="3"/>
        <item x="4"/>
        <item x="7"/>
        <item x="5"/>
        <item x="6"/>
        <item x="8"/>
        <item x="9"/>
        <item x="10"/>
        <item x="12"/>
        <item t="default"/>
      </items>
    </pivotField>
    <pivotField axis="axisRow" showAll="0">
      <items count="15">
        <item x="7"/>
        <item x="10"/>
        <item x="9"/>
        <item x="13"/>
        <item x="0"/>
        <item x="1"/>
        <item x="6"/>
        <item x="12"/>
        <item x="5"/>
        <item x="4"/>
        <item x="11"/>
        <item x="8"/>
        <item x="2"/>
        <item x="3"/>
        <item t="default"/>
      </items>
    </pivotField>
    <pivotField dataField="1" numFmtId="4" showAll="0"/>
    <pivotField showAll="0"/>
    <pivotField numFmtId="4" showAll="0"/>
    <pivotField showAll="0"/>
    <pivotField showAll="0"/>
    <pivotField showAll="0"/>
    <pivotField showAll="0"/>
  </pivotFields>
  <rowFields count="2">
    <field x="25"/>
    <field x="26"/>
  </rowFields>
  <rowItems count="29">
    <i>
      <x/>
    </i>
    <i r="1">
      <x v="10"/>
    </i>
    <i>
      <x v="1"/>
    </i>
    <i r="1">
      <x v="3"/>
    </i>
    <i>
      <x v="2"/>
    </i>
    <i r="1">
      <x v="4"/>
    </i>
    <i>
      <x v="3"/>
    </i>
    <i r="1">
      <x v="5"/>
    </i>
    <i>
      <x v="4"/>
    </i>
    <i r="1">
      <x v="12"/>
    </i>
    <i>
      <x v="5"/>
    </i>
    <i r="1">
      <x v="13"/>
    </i>
    <i>
      <x v="6"/>
    </i>
    <i r="1">
      <x v="9"/>
    </i>
    <i>
      <x v="7"/>
    </i>
    <i r="1">
      <x/>
    </i>
    <i>
      <x v="8"/>
    </i>
    <i r="1">
      <x v="8"/>
    </i>
    <i>
      <x v="9"/>
    </i>
    <i r="1">
      <x v="6"/>
    </i>
    <i>
      <x v="10"/>
    </i>
    <i r="1">
      <x v="11"/>
    </i>
    <i>
      <x v="11"/>
    </i>
    <i r="1">
      <x v="2"/>
    </i>
    <i>
      <x v="12"/>
    </i>
    <i r="1">
      <x v="1"/>
    </i>
    <i>
      <x v="13"/>
    </i>
    <i r="1">
      <x v="7"/>
    </i>
    <i t="grand">
      <x/>
    </i>
  </rowItems>
  <colItems count="1">
    <i/>
  </colItems>
  <dataFields count="1">
    <dataField name="Average of Percentage" fld="27" subtotal="average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workbookViewId="0">
      <selection sqref="A1:I1"/>
    </sheetView>
  </sheetViews>
  <sheetFormatPr defaultRowHeight="14.5" x14ac:dyDescent="0.35"/>
  <cols>
    <col min="1" max="1" width="1.1796875" customWidth="1"/>
    <col min="2" max="2" width="14.81640625" customWidth="1"/>
    <col min="3" max="3" width="15.54296875" customWidth="1"/>
    <col min="4" max="4" width="15.81640625" customWidth="1"/>
    <col min="5" max="5" width="24" customWidth="1"/>
    <col min="6" max="6" width="17.453125" customWidth="1"/>
    <col min="7" max="7" width="19.54296875" customWidth="1"/>
    <col min="8" max="8" width="18.453125" customWidth="1"/>
    <col min="9" max="9" width="19" customWidth="1"/>
    <col min="10" max="10" width="13.453125" customWidth="1"/>
    <col min="11" max="11" width="0" hidden="1" customWidth="1"/>
  </cols>
  <sheetData>
    <row r="1" spans="1:9" ht="17.149999999999999" customHeigh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.25" customHeight="1" x14ac:dyDescent="0.35"/>
    <row r="3" spans="1:9" ht="11.65" customHeight="1" x14ac:dyDescent="0.35">
      <c r="B3" s="6" t="s">
        <v>1</v>
      </c>
      <c r="C3" s="7"/>
      <c r="D3" s="8" t="s">
        <v>2</v>
      </c>
      <c r="E3" s="9"/>
      <c r="F3" s="9"/>
      <c r="G3" s="9"/>
      <c r="H3" s="9"/>
      <c r="I3" s="10"/>
    </row>
    <row r="4" spans="1:9" ht="11.65" customHeight="1" x14ac:dyDescent="0.35">
      <c r="B4" s="6" t="s">
        <v>3</v>
      </c>
      <c r="C4" s="7"/>
      <c r="D4" s="8" t="s">
        <v>4</v>
      </c>
      <c r="E4" s="9"/>
      <c r="F4" s="9"/>
      <c r="G4" s="9"/>
      <c r="H4" s="9"/>
      <c r="I4" s="10"/>
    </row>
    <row r="5" spans="1:9" ht="0" hidden="1" customHeight="1" x14ac:dyDescent="0.35"/>
    <row r="6" spans="1:9" ht="11.65" customHeight="1" x14ac:dyDescent="0.35">
      <c r="B6" s="6" t="s">
        <v>5</v>
      </c>
      <c r="C6" s="7"/>
      <c r="D6" s="8" t="s">
        <v>6</v>
      </c>
      <c r="E6" s="9"/>
      <c r="F6" s="9"/>
      <c r="G6" s="9"/>
      <c r="H6" s="9"/>
      <c r="I6" s="10"/>
    </row>
    <row r="7" spans="1:9" ht="11.65" customHeight="1" x14ac:dyDescent="0.35">
      <c r="B7" s="11" t="s">
        <v>7</v>
      </c>
      <c r="C7" s="7"/>
      <c r="D7" s="8"/>
      <c r="E7" s="9"/>
      <c r="F7" s="9"/>
      <c r="G7" s="9"/>
      <c r="H7" s="9"/>
      <c r="I7" s="10"/>
    </row>
    <row r="8" spans="1:9" ht="0" hidden="1" customHeight="1" x14ac:dyDescent="0.35"/>
    <row r="9" spans="1:9" ht="11.65" customHeight="1" x14ac:dyDescent="0.35">
      <c r="B9" s="11" t="s">
        <v>7</v>
      </c>
      <c r="C9" s="7"/>
      <c r="D9" s="8"/>
      <c r="E9" s="9"/>
      <c r="F9" s="9"/>
      <c r="G9" s="9"/>
      <c r="H9" s="9"/>
      <c r="I9" s="10"/>
    </row>
    <row r="10" spans="1:9" ht="11.65" customHeight="1" x14ac:dyDescent="0.35">
      <c r="B10" s="11" t="s">
        <v>7</v>
      </c>
      <c r="C10" s="7"/>
      <c r="D10" s="8" t="s">
        <v>8</v>
      </c>
      <c r="E10" s="9"/>
      <c r="F10" s="9"/>
      <c r="G10" s="9"/>
      <c r="H10" s="9"/>
      <c r="I10" s="10"/>
    </row>
    <row r="11" spans="1:9" ht="0" hidden="1" customHeight="1" x14ac:dyDescent="0.35"/>
    <row r="12" spans="1:9" ht="11.65" customHeight="1" x14ac:dyDescent="0.35">
      <c r="B12" s="6" t="s">
        <v>9</v>
      </c>
      <c r="C12" s="7"/>
      <c r="D12" s="8" t="s">
        <v>10</v>
      </c>
      <c r="E12" s="9"/>
      <c r="F12" s="9"/>
      <c r="G12" s="9"/>
      <c r="H12" s="9"/>
      <c r="I12" s="10"/>
    </row>
    <row r="13" spans="1:9" ht="11.65" customHeight="1" x14ac:dyDescent="0.35">
      <c r="B13" s="6" t="s">
        <v>11</v>
      </c>
      <c r="C13" s="7"/>
      <c r="D13" s="8" t="s">
        <v>12</v>
      </c>
      <c r="E13" s="9"/>
      <c r="F13" s="9"/>
      <c r="G13" s="9"/>
      <c r="H13" s="9"/>
      <c r="I13" s="10"/>
    </row>
    <row r="14" spans="1:9" ht="0" hidden="1" customHeight="1" x14ac:dyDescent="0.35"/>
    <row r="15" spans="1:9" ht="11.65" customHeight="1" x14ac:dyDescent="0.35">
      <c r="B15" s="6" t="s">
        <v>13</v>
      </c>
      <c r="C15" s="7"/>
      <c r="D15" s="8" t="s">
        <v>14</v>
      </c>
      <c r="E15" s="9"/>
      <c r="F15" s="9"/>
      <c r="G15" s="9"/>
      <c r="H15" s="9"/>
      <c r="I15" s="10"/>
    </row>
    <row r="16" spans="1:9" ht="1" customHeight="1" x14ac:dyDescent="0.35"/>
    <row r="17" spans="2:10" x14ac:dyDescent="0.35"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13</v>
      </c>
      <c r="I17" s="1" t="s">
        <v>21</v>
      </c>
      <c r="J17" s="1" t="s">
        <v>22</v>
      </c>
    </row>
    <row r="18" spans="2:10" x14ac:dyDescent="0.35">
      <c r="B18" s="2" t="s">
        <v>23</v>
      </c>
      <c r="C18" s="2" t="s">
        <v>24</v>
      </c>
      <c r="D18" s="2" t="s">
        <v>25</v>
      </c>
      <c r="E18" s="2" t="s">
        <v>26</v>
      </c>
      <c r="F18" s="2" t="s">
        <v>26</v>
      </c>
      <c r="G18" s="3" t="s">
        <v>27</v>
      </c>
      <c r="H18" s="3" t="s">
        <v>28</v>
      </c>
      <c r="I18" s="3" t="s">
        <v>27</v>
      </c>
      <c r="J18" s="3" t="s">
        <v>29</v>
      </c>
    </row>
    <row r="19" spans="2:10" x14ac:dyDescent="0.35">
      <c r="B19" s="2" t="s">
        <v>30</v>
      </c>
      <c r="C19" s="2" t="s">
        <v>31</v>
      </c>
      <c r="D19" s="2" t="s">
        <v>32</v>
      </c>
      <c r="E19" s="2" t="s">
        <v>33</v>
      </c>
      <c r="F19" s="2" t="s">
        <v>34</v>
      </c>
      <c r="G19" s="3" t="s">
        <v>35</v>
      </c>
      <c r="H19" s="3" t="s">
        <v>36</v>
      </c>
      <c r="I19" s="3" t="s">
        <v>37</v>
      </c>
      <c r="J19" s="3" t="s">
        <v>29</v>
      </c>
    </row>
    <row r="20" spans="2:10" x14ac:dyDescent="0.35">
      <c r="B20" s="2" t="s">
        <v>30</v>
      </c>
      <c r="C20" s="2" t="s">
        <v>38</v>
      </c>
      <c r="D20" s="2" t="s">
        <v>39</v>
      </c>
      <c r="E20" s="2" t="s">
        <v>33</v>
      </c>
      <c r="F20" s="2" t="s">
        <v>34</v>
      </c>
      <c r="G20" s="3" t="s">
        <v>40</v>
      </c>
      <c r="H20" s="3" t="s">
        <v>41</v>
      </c>
      <c r="I20" s="3" t="s">
        <v>42</v>
      </c>
      <c r="J20" s="3" t="s">
        <v>29</v>
      </c>
    </row>
    <row r="21" spans="2:10" x14ac:dyDescent="0.35">
      <c r="B21" s="2" t="s">
        <v>43</v>
      </c>
      <c r="C21" s="2" t="s">
        <v>44</v>
      </c>
      <c r="D21" s="2" t="s">
        <v>39</v>
      </c>
      <c r="E21" s="2" t="s">
        <v>45</v>
      </c>
      <c r="F21" s="2" t="s">
        <v>46</v>
      </c>
      <c r="G21" s="3" t="s">
        <v>47</v>
      </c>
      <c r="H21" s="3" t="s">
        <v>48</v>
      </c>
      <c r="I21" s="3" t="s">
        <v>49</v>
      </c>
      <c r="J21" s="3" t="s">
        <v>29</v>
      </c>
    </row>
    <row r="22" spans="2:10" x14ac:dyDescent="0.35">
      <c r="B22" s="2" t="s">
        <v>26</v>
      </c>
      <c r="C22" s="2" t="s">
        <v>26</v>
      </c>
      <c r="D22" s="2" t="s">
        <v>26</v>
      </c>
      <c r="E22" s="2" t="s">
        <v>26</v>
      </c>
      <c r="F22" s="4" t="s">
        <v>50</v>
      </c>
      <c r="G22" s="5" t="s">
        <v>51</v>
      </c>
      <c r="H22" s="5" t="s">
        <v>52</v>
      </c>
      <c r="I22" s="5" t="s">
        <v>53</v>
      </c>
      <c r="J22" s="5" t="s">
        <v>29</v>
      </c>
    </row>
    <row r="23" spans="2:10" ht="0" hidden="1" customHeight="1" x14ac:dyDescent="0.35"/>
    <row r="24" spans="2:10" ht="10" customHeight="1" x14ac:dyDescent="0.35"/>
  </sheetData>
  <mergeCells count="19">
    <mergeCell ref="A1:I1"/>
    <mergeCell ref="B3:C3"/>
    <mergeCell ref="D3:I3"/>
    <mergeCell ref="B4:C4"/>
    <mergeCell ref="D4:I4"/>
    <mergeCell ref="B6:C6"/>
    <mergeCell ref="D6:I6"/>
    <mergeCell ref="B7:C7"/>
    <mergeCell ref="D7:I7"/>
    <mergeCell ref="B9:C9"/>
    <mergeCell ref="D9:I9"/>
    <mergeCell ref="B15:C15"/>
    <mergeCell ref="D15:I15"/>
    <mergeCell ref="B10:C10"/>
    <mergeCell ref="D10:I10"/>
    <mergeCell ref="B12:C12"/>
    <mergeCell ref="D12:I12"/>
    <mergeCell ref="B13:C13"/>
    <mergeCell ref="D13:I13"/>
  </mergeCells>
  <pageMargins left="0.39370078740157499" right="0.39370078740157499" top="0.39370078740157499" bottom="0.79786771653543298" header="0.39370078740157499" footer="0.39370078740157499"/>
  <pageSetup paperSize="9" orientation="landscape" horizontalDpi="300" verticalDpi="300"/>
  <headerFooter alignWithMargins="0">
    <oddFooter>&amp;C&amp;"Tahoma,Regular"&amp;7&amp;P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C939-333C-4BFE-80F5-7EED2ECE725D}">
  <dimension ref="A3:C32"/>
  <sheetViews>
    <sheetView tabSelected="1" topLeftCell="A12" workbookViewId="0">
      <selection activeCell="C33" sqref="C33"/>
    </sheetView>
  </sheetViews>
  <sheetFormatPr defaultRowHeight="14.5" x14ac:dyDescent="0.35"/>
  <cols>
    <col min="1" max="1" width="23.90625" bestFit="1" customWidth="1"/>
    <col min="2" max="2" width="19.7265625" bestFit="1" customWidth="1"/>
  </cols>
  <sheetData>
    <row r="3" spans="1:3" x14ac:dyDescent="0.35">
      <c r="A3" s="26" t="s">
        <v>131</v>
      </c>
      <c r="B3" t="s">
        <v>133</v>
      </c>
    </row>
    <row r="4" spans="1:3" x14ac:dyDescent="0.35">
      <c r="A4" s="27" t="s">
        <v>121</v>
      </c>
      <c r="B4" s="29">
        <v>15</v>
      </c>
    </row>
    <row r="5" spans="1:3" x14ac:dyDescent="0.35">
      <c r="A5" s="28" t="s">
        <v>122</v>
      </c>
      <c r="B5" s="29">
        <v>15</v>
      </c>
    </row>
    <row r="6" spans="1:3" x14ac:dyDescent="0.35">
      <c r="A6" s="27" t="s">
        <v>126</v>
      </c>
      <c r="B6" s="29">
        <v>0</v>
      </c>
    </row>
    <row r="7" spans="1:3" x14ac:dyDescent="0.35">
      <c r="A7" s="28" t="s">
        <v>127</v>
      </c>
      <c r="B7" s="29">
        <v>0</v>
      </c>
    </row>
    <row r="8" spans="1:3" x14ac:dyDescent="0.35">
      <c r="A8" s="27" t="s">
        <v>95</v>
      </c>
      <c r="B8" s="29">
        <v>0</v>
      </c>
    </row>
    <row r="9" spans="1:3" x14ac:dyDescent="0.35">
      <c r="A9" s="28" t="s">
        <v>96</v>
      </c>
      <c r="B9" s="29">
        <v>0</v>
      </c>
    </row>
    <row r="10" spans="1:3" x14ac:dyDescent="0.35">
      <c r="A10" s="27" t="s">
        <v>99</v>
      </c>
      <c r="B10" s="29">
        <v>0</v>
      </c>
    </row>
    <row r="11" spans="1:3" x14ac:dyDescent="0.35">
      <c r="A11" s="28" t="s">
        <v>100</v>
      </c>
      <c r="B11" s="29">
        <v>0</v>
      </c>
    </row>
    <row r="12" spans="1:3" x14ac:dyDescent="0.35">
      <c r="A12" s="27" t="s">
        <v>102</v>
      </c>
      <c r="B12" s="29">
        <v>0</v>
      </c>
    </row>
    <row r="13" spans="1:3" x14ac:dyDescent="0.35">
      <c r="A13" s="28" t="s">
        <v>103</v>
      </c>
      <c r="B13" s="29">
        <v>0</v>
      </c>
    </row>
    <row r="14" spans="1:3" x14ac:dyDescent="0.35">
      <c r="A14" s="27" t="s">
        <v>105</v>
      </c>
      <c r="B14" s="29">
        <v>-5</v>
      </c>
    </row>
    <row r="15" spans="1:3" x14ac:dyDescent="0.35">
      <c r="A15" s="28" t="s">
        <v>106</v>
      </c>
      <c r="B15" s="29">
        <v>-5</v>
      </c>
      <c r="C15">
        <v>5</v>
      </c>
    </row>
    <row r="16" spans="1:3" x14ac:dyDescent="0.35">
      <c r="A16" s="27" t="s">
        <v>107</v>
      </c>
      <c r="B16" s="29">
        <v>-0.7</v>
      </c>
    </row>
    <row r="17" spans="1:3" x14ac:dyDescent="0.35">
      <c r="A17" s="28" t="s">
        <v>108</v>
      </c>
      <c r="B17" s="29">
        <v>-0.7</v>
      </c>
      <c r="C17">
        <v>0.7</v>
      </c>
    </row>
    <row r="18" spans="1:3" x14ac:dyDescent="0.35">
      <c r="A18" s="27" t="s">
        <v>113</v>
      </c>
      <c r="B18" s="29">
        <v>-2.2000000000000002</v>
      </c>
    </row>
    <row r="19" spans="1:3" x14ac:dyDescent="0.35">
      <c r="A19" s="28" t="s">
        <v>114</v>
      </c>
      <c r="B19" s="29">
        <v>-2.2000000000000002</v>
      </c>
      <c r="C19">
        <v>2.2000000000000002</v>
      </c>
    </row>
    <row r="20" spans="1:3" x14ac:dyDescent="0.35">
      <c r="A20" s="27" t="s">
        <v>109</v>
      </c>
      <c r="B20" s="29">
        <v>-1.5</v>
      </c>
    </row>
    <row r="21" spans="1:3" x14ac:dyDescent="0.35">
      <c r="A21" s="28" t="s">
        <v>110</v>
      </c>
      <c r="B21" s="29">
        <v>-1.5</v>
      </c>
      <c r="C21">
        <v>1.5</v>
      </c>
    </row>
    <row r="22" spans="1:3" x14ac:dyDescent="0.35">
      <c r="A22" s="27" t="s">
        <v>111</v>
      </c>
      <c r="B22" s="29">
        <v>-5.3</v>
      </c>
    </row>
    <row r="23" spans="1:3" x14ac:dyDescent="0.35">
      <c r="A23" s="28" t="s">
        <v>112</v>
      </c>
      <c r="B23" s="29">
        <v>-5.3</v>
      </c>
      <c r="C23">
        <v>5.3</v>
      </c>
    </row>
    <row r="24" spans="1:3" x14ac:dyDescent="0.35">
      <c r="A24" s="27" t="s">
        <v>115</v>
      </c>
      <c r="B24" s="29">
        <v>-2.5</v>
      </c>
    </row>
    <row r="25" spans="1:3" x14ac:dyDescent="0.35">
      <c r="A25" s="28" t="s">
        <v>116</v>
      </c>
      <c r="B25" s="29">
        <v>-2.5</v>
      </c>
      <c r="C25">
        <v>2.5</v>
      </c>
    </row>
    <row r="26" spans="1:3" x14ac:dyDescent="0.35">
      <c r="A26" s="27" t="s">
        <v>117</v>
      </c>
      <c r="B26" s="29">
        <v>-0.2</v>
      </c>
    </row>
    <row r="27" spans="1:3" x14ac:dyDescent="0.35">
      <c r="A27" s="28" t="s">
        <v>118</v>
      </c>
      <c r="B27" s="29">
        <v>-0.2</v>
      </c>
      <c r="C27">
        <v>0.2</v>
      </c>
    </row>
    <row r="28" spans="1:3" x14ac:dyDescent="0.35">
      <c r="A28" s="27" t="s">
        <v>119</v>
      </c>
      <c r="B28" s="29">
        <v>-0.6</v>
      </c>
    </row>
    <row r="29" spans="1:3" x14ac:dyDescent="0.35">
      <c r="A29" s="28" t="s">
        <v>120</v>
      </c>
      <c r="B29" s="29">
        <v>-0.6</v>
      </c>
      <c r="C29">
        <v>0.6</v>
      </c>
    </row>
    <row r="30" spans="1:3" x14ac:dyDescent="0.35">
      <c r="A30" s="27" t="s">
        <v>124</v>
      </c>
      <c r="B30" s="29">
        <v>90</v>
      </c>
    </row>
    <row r="31" spans="1:3" x14ac:dyDescent="0.35">
      <c r="A31" s="28" t="s">
        <v>125</v>
      </c>
      <c r="B31" s="29">
        <v>90</v>
      </c>
    </row>
    <row r="32" spans="1:3" x14ac:dyDescent="0.35">
      <c r="A32" s="27" t="s">
        <v>132</v>
      </c>
      <c r="B32" s="29">
        <v>6.2142857142857144</v>
      </c>
      <c r="C32">
        <f>SUM(C15:C31)</f>
        <v>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A37C-38A0-41A5-9C94-43842B928372}">
  <dimension ref="A1:AH31"/>
  <sheetViews>
    <sheetView workbookViewId="0">
      <selection activeCell="D10" sqref="D10"/>
    </sheetView>
  </sheetViews>
  <sheetFormatPr defaultRowHeight="14.5" x14ac:dyDescent="0.35"/>
  <sheetData>
    <row r="1" spans="1:34" ht="43.5" x14ac:dyDescent="0.35">
      <c r="A1" s="14" t="s">
        <v>54</v>
      </c>
      <c r="B1" s="14" t="s">
        <v>55</v>
      </c>
      <c r="C1" s="14" t="s">
        <v>56</v>
      </c>
      <c r="D1" s="14" t="s">
        <v>57</v>
      </c>
      <c r="E1" s="14" t="s">
        <v>58</v>
      </c>
      <c r="F1" s="14" t="s">
        <v>59</v>
      </c>
      <c r="G1" s="14" t="s">
        <v>60</v>
      </c>
      <c r="H1" s="14" t="s">
        <v>61</v>
      </c>
      <c r="I1" s="14" t="s">
        <v>62</v>
      </c>
      <c r="J1" s="14" t="s">
        <v>63</v>
      </c>
      <c r="K1" s="15" t="s">
        <v>64</v>
      </c>
      <c r="L1" s="14" t="s">
        <v>65</v>
      </c>
      <c r="M1" s="14" t="s">
        <v>65</v>
      </c>
      <c r="N1" s="14" t="s">
        <v>66</v>
      </c>
      <c r="O1" s="14" t="s">
        <v>67</v>
      </c>
      <c r="P1" s="14" t="s">
        <v>68</v>
      </c>
      <c r="Q1" s="14" t="s">
        <v>69</v>
      </c>
      <c r="R1" s="14" t="s">
        <v>70</v>
      </c>
      <c r="S1" s="14" t="s">
        <v>71</v>
      </c>
      <c r="T1" s="14" t="s">
        <v>72</v>
      </c>
      <c r="U1" s="14" t="s">
        <v>73</v>
      </c>
      <c r="V1" s="14" t="s">
        <v>67</v>
      </c>
      <c r="W1" s="14" t="s">
        <v>74</v>
      </c>
      <c r="X1" s="14" t="s">
        <v>75</v>
      </c>
      <c r="Y1" s="14" t="s">
        <v>76</v>
      </c>
      <c r="Z1" s="14" t="s">
        <v>77</v>
      </c>
      <c r="AA1" s="14" t="s">
        <v>78</v>
      </c>
      <c r="AB1" s="14" t="s">
        <v>79</v>
      </c>
      <c r="AC1" s="14" t="s">
        <v>76</v>
      </c>
      <c r="AD1" s="14" t="s">
        <v>80</v>
      </c>
      <c r="AE1" s="14" t="s">
        <v>67</v>
      </c>
      <c r="AF1" s="15" t="s">
        <v>81</v>
      </c>
      <c r="AG1" s="14" t="s">
        <v>76</v>
      </c>
      <c r="AH1" s="14" t="s">
        <v>82</v>
      </c>
    </row>
    <row r="2" spans="1:34" x14ac:dyDescent="0.35">
      <c r="A2" s="16" t="s">
        <v>83</v>
      </c>
      <c r="B2" s="16" t="s">
        <v>84</v>
      </c>
      <c r="C2" s="16" t="s">
        <v>85</v>
      </c>
      <c r="D2" s="16" t="s">
        <v>86</v>
      </c>
      <c r="E2" s="16" t="s">
        <v>26</v>
      </c>
      <c r="F2" s="16" t="s">
        <v>87</v>
      </c>
      <c r="G2" s="16" t="s">
        <v>88</v>
      </c>
      <c r="H2" s="17">
        <v>45254</v>
      </c>
      <c r="I2" s="16" t="s">
        <v>89</v>
      </c>
      <c r="J2" s="16" t="s">
        <v>90</v>
      </c>
      <c r="K2" s="18">
        <v>102</v>
      </c>
      <c r="L2" s="16" t="s">
        <v>91</v>
      </c>
      <c r="M2" s="16" t="s">
        <v>91</v>
      </c>
      <c r="N2" s="19">
        <v>36868.92</v>
      </c>
      <c r="O2" s="16" t="s">
        <v>29</v>
      </c>
      <c r="P2" s="16" t="s">
        <v>92</v>
      </c>
      <c r="Q2" s="16" t="s">
        <v>93</v>
      </c>
      <c r="R2" s="16" t="s">
        <v>94</v>
      </c>
      <c r="S2" s="16" t="s">
        <v>26</v>
      </c>
      <c r="T2" s="16" t="s">
        <v>26</v>
      </c>
      <c r="U2" s="19">
        <v>36868.92</v>
      </c>
      <c r="V2" s="16" t="s">
        <v>29</v>
      </c>
      <c r="W2" s="16" t="s">
        <v>26</v>
      </c>
      <c r="X2" s="19">
        <v>361.46</v>
      </c>
      <c r="Y2" s="16" t="s">
        <v>29</v>
      </c>
      <c r="Z2" s="16" t="s">
        <v>95</v>
      </c>
      <c r="AA2" s="16" t="s">
        <v>96</v>
      </c>
      <c r="AB2" s="19">
        <v>0</v>
      </c>
      <c r="AC2" s="16" t="s">
        <v>26</v>
      </c>
      <c r="AD2" s="19">
        <v>36868.92</v>
      </c>
      <c r="AE2" s="16" t="s">
        <v>29</v>
      </c>
      <c r="AF2" s="20">
        <v>102</v>
      </c>
      <c r="AG2" s="16" t="s">
        <v>97</v>
      </c>
      <c r="AH2" s="16" t="s">
        <v>98</v>
      </c>
    </row>
    <row r="3" spans="1:34" x14ac:dyDescent="0.35">
      <c r="A3" s="16" t="s">
        <v>83</v>
      </c>
      <c r="B3" s="16" t="s">
        <v>84</v>
      </c>
      <c r="C3" s="16" t="s">
        <v>85</v>
      </c>
      <c r="D3" s="16" t="s">
        <v>86</v>
      </c>
      <c r="E3" s="16" t="s">
        <v>26</v>
      </c>
      <c r="F3" s="16" t="s">
        <v>87</v>
      </c>
      <c r="G3" s="16" t="s">
        <v>88</v>
      </c>
      <c r="H3" s="17">
        <v>45254</v>
      </c>
      <c r="I3" s="16" t="s">
        <v>89</v>
      </c>
      <c r="J3" s="16" t="s">
        <v>90</v>
      </c>
      <c r="K3" s="18">
        <v>102</v>
      </c>
      <c r="L3" s="16" t="s">
        <v>91</v>
      </c>
      <c r="M3" s="16" t="s">
        <v>91</v>
      </c>
      <c r="N3" s="19">
        <v>36868.92</v>
      </c>
      <c r="O3" s="16" t="s">
        <v>29</v>
      </c>
      <c r="P3" s="16" t="s">
        <v>92</v>
      </c>
      <c r="Q3" s="16" t="s">
        <v>93</v>
      </c>
      <c r="R3" s="16" t="s">
        <v>94</v>
      </c>
      <c r="S3" s="16" t="s">
        <v>26</v>
      </c>
      <c r="T3" s="16" t="s">
        <v>26</v>
      </c>
      <c r="U3" s="19">
        <v>0</v>
      </c>
      <c r="V3" s="16" t="s">
        <v>29</v>
      </c>
      <c r="W3" s="16" t="s">
        <v>26</v>
      </c>
      <c r="X3" s="20">
        <v>0</v>
      </c>
      <c r="Y3" s="16" t="s">
        <v>97</v>
      </c>
      <c r="Z3" s="16" t="s">
        <v>99</v>
      </c>
      <c r="AA3" s="16" t="s">
        <v>100</v>
      </c>
      <c r="AB3" s="19">
        <v>0</v>
      </c>
      <c r="AC3" s="16" t="s">
        <v>26</v>
      </c>
      <c r="AD3" s="19">
        <v>0</v>
      </c>
      <c r="AE3" s="16" t="s">
        <v>29</v>
      </c>
      <c r="AF3" s="19">
        <v>36868.92</v>
      </c>
      <c r="AG3" s="16" t="s">
        <v>29</v>
      </c>
      <c r="AH3" s="16" t="s">
        <v>101</v>
      </c>
    </row>
    <row r="4" spans="1:34" x14ac:dyDescent="0.35">
      <c r="A4" s="16" t="s">
        <v>83</v>
      </c>
      <c r="B4" s="16" t="s">
        <v>84</v>
      </c>
      <c r="C4" s="16" t="s">
        <v>85</v>
      </c>
      <c r="D4" s="16" t="s">
        <v>86</v>
      </c>
      <c r="E4" s="16" t="s">
        <v>26</v>
      </c>
      <c r="F4" s="16" t="s">
        <v>87</v>
      </c>
      <c r="G4" s="16" t="s">
        <v>88</v>
      </c>
      <c r="H4" s="17">
        <v>45254</v>
      </c>
      <c r="I4" s="16" t="s">
        <v>89</v>
      </c>
      <c r="J4" s="16" t="s">
        <v>90</v>
      </c>
      <c r="K4" s="18">
        <v>102</v>
      </c>
      <c r="L4" s="16" t="s">
        <v>91</v>
      </c>
      <c r="M4" s="16" t="s">
        <v>91</v>
      </c>
      <c r="N4" s="19">
        <v>36868.92</v>
      </c>
      <c r="O4" s="16" t="s">
        <v>29</v>
      </c>
      <c r="P4" s="16" t="s">
        <v>92</v>
      </c>
      <c r="Q4" s="16" t="s">
        <v>93</v>
      </c>
      <c r="R4" s="16" t="s">
        <v>94</v>
      </c>
      <c r="S4" s="16" t="s">
        <v>26</v>
      </c>
      <c r="T4" s="16" t="s">
        <v>26</v>
      </c>
      <c r="U4" s="19">
        <v>0</v>
      </c>
      <c r="V4" s="16" t="s">
        <v>29</v>
      </c>
      <c r="W4" s="16" t="s">
        <v>26</v>
      </c>
      <c r="X4" s="20">
        <v>0</v>
      </c>
      <c r="Y4" s="16" t="s">
        <v>97</v>
      </c>
      <c r="Z4" s="16" t="s">
        <v>102</v>
      </c>
      <c r="AA4" s="16" t="s">
        <v>103</v>
      </c>
      <c r="AB4" s="19">
        <v>0</v>
      </c>
      <c r="AC4" s="16" t="s">
        <v>26</v>
      </c>
      <c r="AD4" s="19">
        <v>0</v>
      </c>
      <c r="AE4" s="16" t="s">
        <v>29</v>
      </c>
      <c r="AF4" s="19">
        <v>36868.92</v>
      </c>
      <c r="AG4" s="16" t="s">
        <v>29</v>
      </c>
      <c r="AH4" s="16" t="s">
        <v>101</v>
      </c>
    </row>
    <row r="5" spans="1:34" x14ac:dyDescent="0.35">
      <c r="A5" s="16" t="s">
        <v>83</v>
      </c>
      <c r="B5" s="16" t="s">
        <v>84</v>
      </c>
      <c r="C5" s="16" t="s">
        <v>85</v>
      </c>
      <c r="D5" s="16" t="s">
        <v>86</v>
      </c>
      <c r="E5" s="16" t="s">
        <v>26</v>
      </c>
      <c r="F5" s="16" t="s">
        <v>87</v>
      </c>
      <c r="G5" s="16" t="s">
        <v>88</v>
      </c>
      <c r="H5" s="17">
        <v>45254</v>
      </c>
      <c r="I5" s="16" t="s">
        <v>89</v>
      </c>
      <c r="J5" s="16" t="s">
        <v>90</v>
      </c>
      <c r="K5" s="18">
        <v>102</v>
      </c>
      <c r="L5" s="16" t="s">
        <v>91</v>
      </c>
      <c r="M5" s="16" t="s">
        <v>91</v>
      </c>
      <c r="N5" s="19">
        <v>36868.92</v>
      </c>
      <c r="O5" s="16" t="s">
        <v>29</v>
      </c>
      <c r="P5" s="16" t="s">
        <v>92</v>
      </c>
      <c r="Q5" s="16" t="s">
        <v>93</v>
      </c>
      <c r="R5" s="16" t="s">
        <v>94</v>
      </c>
      <c r="S5" s="16" t="s">
        <v>104</v>
      </c>
      <c r="T5" s="16" t="s">
        <v>104</v>
      </c>
      <c r="U5" s="19">
        <v>-1843.45</v>
      </c>
      <c r="V5" s="16" t="s">
        <v>29</v>
      </c>
      <c r="W5" s="16" t="s">
        <v>26</v>
      </c>
      <c r="X5" s="20">
        <v>-5</v>
      </c>
      <c r="Y5" s="16" t="s">
        <v>97</v>
      </c>
      <c r="Z5" s="16" t="s">
        <v>105</v>
      </c>
      <c r="AA5" s="16" t="s">
        <v>106</v>
      </c>
      <c r="AB5" s="19">
        <v>-5</v>
      </c>
      <c r="AC5" s="16" t="s">
        <v>26</v>
      </c>
      <c r="AD5" s="19">
        <v>-1843.45</v>
      </c>
      <c r="AE5" s="16" t="s">
        <v>29</v>
      </c>
      <c r="AF5" s="19">
        <v>36868.92</v>
      </c>
      <c r="AG5" s="16" t="s">
        <v>29</v>
      </c>
      <c r="AH5" s="16" t="s">
        <v>101</v>
      </c>
    </row>
    <row r="6" spans="1:34" x14ac:dyDescent="0.35">
      <c r="A6" s="16" t="s">
        <v>83</v>
      </c>
      <c r="B6" s="16" t="s">
        <v>84</v>
      </c>
      <c r="C6" s="16" t="s">
        <v>85</v>
      </c>
      <c r="D6" s="16" t="s">
        <v>86</v>
      </c>
      <c r="E6" s="16" t="s">
        <v>26</v>
      </c>
      <c r="F6" s="16" t="s">
        <v>87</v>
      </c>
      <c r="G6" s="16" t="s">
        <v>88</v>
      </c>
      <c r="H6" s="17">
        <v>45254</v>
      </c>
      <c r="I6" s="16" t="s">
        <v>89</v>
      </c>
      <c r="J6" s="16" t="s">
        <v>90</v>
      </c>
      <c r="K6" s="18">
        <v>102</v>
      </c>
      <c r="L6" s="16" t="s">
        <v>91</v>
      </c>
      <c r="M6" s="16" t="s">
        <v>91</v>
      </c>
      <c r="N6" s="19">
        <v>36868.92</v>
      </c>
      <c r="O6" s="16" t="s">
        <v>29</v>
      </c>
      <c r="P6" s="16" t="s">
        <v>92</v>
      </c>
      <c r="Q6" s="16" t="s">
        <v>93</v>
      </c>
      <c r="R6" s="16" t="s">
        <v>94</v>
      </c>
      <c r="S6" s="16" t="s">
        <v>104</v>
      </c>
      <c r="T6" s="16" t="s">
        <v>104</v>
      </c>
      <c r="U6" s="19">
        <v>-258.08</v>
      </c>
      <c r="V6" s="16" t="s">
        <v>29</v>
      </c>
      <c r="W6" s="16" t="s">
        <v>26</v>
      </c>
      <c r="X6" s="20">
        <v>-0.7</v>
      </c>
      <c r="Y6" s="16" t="s">
        <v>97</v>
      </c>
      <c r="Z6" s="16" t="s">
        <v>107</v>
      </c>
      <c r="AA6" s="16" t="s">
        <v>108</v>
      </c>
      <c r="AB6" s="19">
        <v>-0.7</v>
      </c>
      <c r="AC6" s="16" t="s">
        <v>26</v>
      </c>
      <c r="AD6" s="19">
        <v>-258.08</v>
      </c>
      <c r="AE6" s="16" t="s">
        <v>29</v>
      </c>
      <c r="AF6" s="19">
        <v>36868.92</v>
      </c>
      <c r="AG6" s="16" t="s">
        <v>29</v>
      </c>
      <c r="AH6" s="16" t="s">
        <v>101</v>
      </c>
    </row>
    <row r="7" spans="1:34" x14ac:dyDescent="0.35">
      <c r="A7" s="16" t="s">
        <v>83</v>
      </c>
      <c r="B7" s="16" t="s">
        <v>84</v>
      </c>
      <c r="C7" s="16" t="s">
        <v>85</v>
      </c>
      <c r="D7" s="16" t="s">
        <v>86</v>
      </c>
      <c r="E7" s="16" t="s">
        <v>26</v>
      </c>
      <c r="F7" s="16" t="s">
        <v>87</v>
      </c>
      <c r="G7" s="16" t="s">
        <v>88</v>
      </c>
      <c r="H7" s="17">
        <v>45254</v>
      </c>
      <c r="I7" s="16" t="s">
        <v>89</v>
      </c>
      <c r="J7" s="16" t="s">
        <v>90</v>
      </c>
      <c r="K7" s="18">
        <v>102</v>
      </c>
      <c r="L7" s="16" t="s">
        <v>91</v>
      </c>
      <c r="M7" s="16" t="s">
        <v>91</v>
      </c>
      <c r="N7" s="19">
        <v>36868.92</v>
      </c>
      <c r="O7" s="16" t="s">
        <v>29</v>
      </c>
      <c r="P7" s="16" t="s">
        <v>92</v>
      </c>
      <c r="Q7" s="16" t="s">
        <v>93</v>
      </c>
      <c r="R7" s="16" t="s">
        <v>94</v>
      </c>
      <c r="S7" s="16" t="s">
        <v>104</v>
      </c>
      <c r="T7" s="16" t="s">
        <v>104</v>
      </c>
      <c r="U7" s="19">
        <v>-553.03</v>
      </c>
      <c r="V7" s="16" t="s">
        <v>29</v>
      </c>
      <c r="W7" s="16" t="s">
        <v>26</v>
      </c>
      <c r="X7" s="20">
        <v>-1.5</v>
      </c>
      <c r="Y7" s="16" t="s">
        <v>97</v>
      </c>
      <c r="Z7" s="16" t="s">
        <v>109</v>
      </c>
      <c r="AA7" s="16" t="s">
        <v>110</v>
      </c>
      <c r="AB7" s="19">
        <v>-1.5</v>
      </c>
      <c r="AC7" s="16" t="s">
        <v>26</v>
      </c>
      <c r="AD7" s="19">
        <v>-553.03</v>
      </c>
      <c r="AE7" s="16" t="s">
        <v>29</v>
      </c>
      <c r="AF7" s="19">
        <v>36868.92</v>
      </c>
      <c r="AG7" s="16" t="s">
        <v>29</v>
      </c>
      <c r="AH7" s="16" t="s">
        <v>101</v>
      </c>
    </row>
    <row r="8" spans="1:34" x14ac:dyDescent="0.35">
      <c r="A8" s="16" t="s">
        <v>83</v>
      </c>
      <c r="B8" s="16" t="s">
        <v>84</v>
      </c>
      <c r="C8" s="16" t="s">
        <v>85</v>
      </c>
      <c r="D8" s="16" t="s">
        <v>86</v>
      </c>
      <c r="E8" s="16" t="s">
        <v>26</v>
      </c>
      <c r="F8" s="16" t="s">
        <v>87</v>
      </c>
      <c r="G8" s="16" t="s">
        <v>88</v>
      </c>
      <c r="H8" s="17">
        <v>45254</v>
      </c>
      <c r="I8" s="16" t="s">
        <v>89</v>
      </c>
      <c r="J8" s="16" t="s">
        <v>90</v>
      </c>
      <c r="K8" s="18">
        <v>102</v>
      </c>
      <c r="L8" s="16" t="s">
        <v>91</v>
      </c>
      <c r="M8" s="16" t="s">
        <v>91</v>
      </c>
      <c r="N8" s="19">
        <v>36868.92</v>
      </c>
      <c r="O8" s="16" t="s">
        <v>29</v>
      </c>
      <c r="P8" s="16" t="s">
        <v>92</v>
      </c>
      <c r="Q8" s="16" t="s">
        <v>93</v>
      </c>
      <c r="R8" s="16" t="s">
        <v>94</v>
      </c>
      <c r="S8" s="16" t="s">
        <v>104</v>
      </c>
      <c r="T8" s="16" t="s">
        <v>104</v>
      </c>
      <c r="U8" s="19">
        <v>-1954.05</v>
      </c>
      <c r="V8" s="16" t="s">
        <v>29</v>
      </c>
      <c r="W8" s="16" t="s">
        <v>26</v>
      </c>
      <c r="X8" s="20">
        <v>-5.3</v>
      </c>
      <c r="Y8" s="16" t="s">
        <v>97</v>
      </c>
      <c r="Z8" s="16" t="s">
        <v>111</v>
      </c>
      <c r="AA8" s="16" t="s">
        <v>112</v>
      </c>
      <c r="AB8" s="19">
        <v>-5.3</v>
      </c>
      <c r="AC8" s="16" t="s">
        <v>26</v>
      </c>
      <c r="AD8" s="19">
        <v>-1954.05</v>
      </c>
      <c r="AE8" s="16" t="s">
        <v>29</v>
      </c>
      <c r="AF8" s="19">
        <v>36868.92</v>
      </c>
      <c r="AG8" s="16" t="s">
        <v>29</v>
      </c>
      <c r="AH8" s="16" t="s">
        <v>101</v>
      </c>
    </row>
    <row r="9" spans="1:34" x14ac:dyDescent="0.35">
      <c r="A9" s="16" t="s">
        <v>83</v>
      </c>
      <c r="B9" s="16" t="s">
        <v>84</v>
      </c>
      <c r="C9" s="16" t="s">
        <v>85</v>
      </c>
      <c r="D9" s="16" t="s">
        <v>86</v>
      </c>
      <c r="E9" s="16" t="s">
        <v>26</v>
      </c>
      <c r="F9" s="16" t="s">
        <v>87</v>
      </c>
      <c r="G9" s="16" t="s">
        <v>88</v>
      </c>
      <c r="H9" s="17">
        <v>45254</v>
      </c>
      <c r="I9" s="16" t="s">
        <v>89</v>
      </c>
      <c r="J9" s="16" t="s">
        <v>90</v>
      </c>
      <c r="K9" s="18">
        <v>102</v>
      </c>
      <c r="L9" s="16" t="s">
        <v>91</v>
      </c>
      <c r="M9" s="16" t="s">
        <v>91</v>
      </c>
      <c r="N9" s="19">
        <v>36868.92</v>
      </c>
      <c r="O9" s="16" t="s">
        <v>29</v>
      </c>
      <c r="P9" s="16" t="s">
        <v>92</v>
      </c>
      <c r="Q9" s="16" t="s">
        <v>93</v>
      </c>
      <c r="R9" s="16" t="s">
        <v>94</v>
      </c>
      <c r="S9" s="16" t="s">
        <v>104</v>
      </c>
      <c r="T9" s="16" t="s">
        <v>104</v>
      </c>
      <c r="U9" s="19">
        <v>-811.12</v>
      </c>
      <c r="V9" s="16" t="s">
        <v>29</v>
      </c>
      <c r="W9" s="16" t="s">
        <v>26</v>
      </c>
      <c r="X9" s="20">
        <v>-2.2000000000000002</v>
      </c>
      <c r="Y9" s="16" t="s">
        <v>97</v>
      </c>
      <c r="Z9" s="16" t="s">
        <v>113</v>
      </c>
      <c r="AA9" s="16" t="s">
        <v>114</v>
      </c>
      <c r="AB9" s="19">
        <v>-2.2000000000000002</v>
      </c>
      <c r="AC9" s="16" t="s">
        <v>26</v>
      </c>
      <c r="AD9" s="19">
        <v>-811.12</v>
      </c>
      <c r="AE9" s="16" t="s">
        <v>29</v>
      </c>
      <c r="AF9" s="19">
        <v>36868.92</v>
      </c>
      <c r="AG9" s="16" t="s">
        <v>29</v>
      </c>
      <c r="AH9" s="16" t="s">
        <v>101</v>
      </c>
    </row>
    <row r="10" spans="1:34" x14ac:dyDescent="0.35">
      <c r="A10" s="16" t="s">
        <v>83</v>
      </c>
      <c r="B10" s="16" t="s">
        <v>84</v>
      </c>
      <c r="C10" s="16" t="s">
        <v>85</v>
      </c>
      <c r="D10" s="16" t="s">
        <v>86</v>
      </c>
      <c r="E10" s="16" t="s">
        <v>26</v>
      </c>
      <c r="F10" s="16" t="s">
        <v>87</v>
      </c>
      <c r="G10" s="16" t="s">
        <v>88</v>
      </c>
      <c r="H10" s="17">
        <v>45254</v>
      </c>
      <c r="I10" s="16" t="s">
        <v>89</v>
      </c>
      <c r="J10" s="16" t="s">
        <v>90</v>
      </c>
      <c r="K10" s="18">
        <v>102</v>
      </c>
      <c r="L10" s="16" t="s">
        <v>91</v>
      </c>
      <c r="M10" s="16" t="s">
        <v>91</v>
      </c>
      <c r="N10" s="19">
        <v>36868.92</v>
      </c>
      <c r="O10" s="16" t="s">
        <v>29</v>
      </c>
      <c r="P10" s="16" t="s">
        <v>92</v>
      </c>
      <c r="Q10" s="16" t="s">
        <v>93</v>
      </c>
      <c r="R10" s="16" t="s">
        <v>94</v>
      </c>
      <c r="S10" s="16" t="s">
        <v>104</v>
      </c>
      <c r="T10" s="16" t="s">
        <v>104</v>
      </c>
      <c r="U10" s="19">
        <v>-921.72</v>
      </c>
      <c r="V10" s="16" t="s">
        <v>29</v>
      </c>
      <c r="W10" s="16" t="s">
        <v>26</v>
      </c>
      <c r="X10" s="20">
        <v>-2.5</v>
      </c>
      <c r="Y10" s="16" t="s">
        <v>97</v>
      </c>
      <c r="Z10" s="16" t="s">
        <v>115</v>
      </c>
      <c r="AA10" s="16" t="s">
        <v>116</v>
      </c>
      <c r="AB10" s="19">
        <v>-2.5</v>
      </c>
      <c r="AC10" s="16" t="s">
        <v>26</v>
      </c>
      <c r="AD10" s="19">
        <v>-921.72</v>
      </c>
      <c r="AE10" s="16" t="s">
        <v>29</v>
      </c>
      <c r="AF10" s="19">
        <v>36868.92</v>
      </c>
      <c r="AG10" s="16" t="s">
        <v>29</v>
      </c>
      <c r="AH10" s="16" t="s">
        <v>101</v>
      </c>
    </row>
    <row r="11" spans="1:34" x14ac:dyDescent="0.35">
      <c r="A11" s="16" t="s">
        <v>83</v>
      </c>
      <c r="B11" s="16" t="s">
        <v>84</v>
      </c>
      <c r="C11" s="16" t="s">
        <v>85</v>
      </c>
      <c r="D11" s="16" t="s">
        <v>86</v>
      </c>
      <c r="E11" s="16" t="s">
        <v>26</v>
      </c>
      <c r="F11" s="16" t="s">
        <v>87</v>
      </c>
      <c r="G11" s="16" t="s">
        <v>88</v>
      </c>
      <c r="H11" s="17">
        <v>45254</v>
      </c>
      <c r="I11" s="16" t="s">
        <v>89</v>
      </c>
      <c r="J11" s="16" t="s">
        <v>90</v>
      </c>
      <c r="K11" s="18">
        <v>102</v>
      </c>
      <c r="L11" s="16" t="s">
        <v>91</v>
      </c>
      <c r="M11" s="16" t="s">
        <v>91</v>
      </c>
      <c r="N11" s="19">
        <v>36868.92</v>
      </c>
      <c r="O11" s="16" t="s">
        <v>29</v>
      </c>
      <c r="P11" s="16" t="s">
        <v>92</v>
      </c>
      <c r="Q11" s="16" t="s">
        <v>93</v>
      </c>
      <c r="R11" s="16" t="s">
        <v>94</v>
      </c>
      <c r="S11" s="16" t="s">
        <v>104</v>
      </c>
      <c r="T11" s="16" t="s">
        <v>104</v>
      </c>
      <c r="U11" s="19">
        <v>-73.739999999999995</v>
      </c>
      <c r="V11" s="16" t="s">
        <v>29</v>
      </c>
      <c r="W11" s="16" t="s">
        <v>26</v>
      </c>
      <c r="X11" s="20">
        <v>-0.2</v>
      </c>
      <c r="Y11" s="16" t="s">
        <v>97</v>
      </c>
      <c r="Z11" s="16" t="s">
        <v>117</v>
      </c>
      <c r="AA11" s="16" t="s">
        <v>118</v>
      </c>
      <c r="AB11" s="19">
        <v>-0.2</v>
      </c>
      <c r="AC11" s="16" t="s">
        <v>26</v>
      </c>
      <c r="AD11" s="19">
        <v>-73.739999999999995</v>
      </c>
      <c r="AE11" s="16" t="s">
        <v>29</v>
      </c>
      <c r="AF11" s="19">
        <v>36868.92</v>
      </c>
      <c r="AG11" s="16" t="s">
        <v>29</v>
      </c>
      <c r="AH11" s="16" t="s">
        <v>101</v>
      </c>
    </row>
    <row r="12" spans="1:34" x14ac:dyDescent="0.35">
      <c r="A12" s="16" t="s">
        <v>83</v>
      </c>
      <c r="B12" s="16" t="s">
        <v>84</v>
      </c>
      <c r="C12" s="16" t="s">
        <v>85</v>
      </c>
      <c r="D12" s="16" t="s">
        <v>86</v>
      </c>
      <c r="E12" s="16" t="s">
        <v>26</v>
      </c>
      <c r="F12" s="16" t="s">
        <v>87</v>
      </c>
      <c r="G12" s="16" t="s">
        <v>88</v>
      </c>
      <c r="H12" s="17">
        <v>45254</v>
      </c>
      <c r="I12" s="16" t="s">
        <v>89</v>
      </c>
      <c r="J12" s="16" t="s">
        <v>90</v>
      </c>
      <c r="K12" s="18">
        <v>102</v>
      </c>
      <c r="L12" s="16" t="s">
        <v>91</v>
      </c>
      <c r="M12" s="16" t="s">
        <v>91</v>
      </c>
      <c r="N12" s="19">
        <v>36868.92</v>
      </c>
      <c r="O12" s="16" t="s">
        <v>29</v>
      </c>
      <c r="P12" s="16" t="s">
        <v>92</v>
      </c>
      <c r="Q12" s="16" t="s">
        <v>93</v>
      </c>
      <c r="R12" s="16" t="s">
        <v>94</v>
      </c>
      <c r="S12" s="16" t="s">
        <v>104</v>
      </c>
      <c r="T12" s="16" t="s">
        <v>104</v>
      </c>
      <c r="U12" s="19">
        <v>-221.21</v>
      </c>
      <c r="V12" s="16" t="s">
        <v>29</v>
      </c>
      <c r="W12" s="16" t="s">
        <v>26</v>
      </c>
      <c r="X12" s="20">
        <v>-0.6</v>
      </c>
      <c r="Y12" s="16" t="s">
        <v>97</v>
      </c>
      <c r="Z12" s="16" t="s">
        <v>119</v>
      </c>
      <c r="AA12" s="16" t="s">
        <v>120</v>
      </c>
      <c r="AB12" s="19">
        <v>-0.6</v>
      </c>
      <c r="AC12" s="16" t="s">
        <v>26</v>
      </c>
      <c r="AD12" s="19">
        <v>-221.21</v>
      </c>
      <c r="AE12" s="16" t="s">
        <v>29</v>
      </c>
      <c r="AF12" s="19">
        <v>36868.92</v>
      </c>
      <c r="AG12" s="16" t="s">
        <v>29</v>
      </c>
      <c r="AH12" s="16" t="s">
        <v>101</v>
      </c>
    </row>
    <row r="13" spans="1:34" x14ac:dyDescent="0.35">
      <c r="A13" s="16" t="s">
        <v>83</v>
      </c>
      <c r="B13" s="16" t="s">
        <v>84</v>
      </c>
      <c r="C13" s="16" t="s">
        <v>85</v>
      </c>
      <c r="D13" s="16" t="s">
        <v>86</v>
      </c>
      <c r="E13" s="16" t="s">
        <v>26</v>
      </c>
      <c r="F13" s="16" t="s">
        <v>87</v>
      </c>
      <c r="G13" s="16" t="s">
        <v>88</v>
      </c>
      <c r="H13" s="17">
        <v>45254</v>
      </c>
      <c r="I13" s="16" t="s">
        <v>89</v>
      </c>
      <c r="J13" s="16" t="s">
        <v>90</v>
      </c>
      <c r="K13" s="18">
        <v>102</v>
      </c>
      <c r="L13" s="16" t="s">
        <v>91</v>
      </c>
      <c r="M13" s="16" t="s">
        <v>91</v>
      </c>
      <c r="N13" s="19">
        <v>36868.92</v>
      </c>
      <c r="O13" s="16" t="s">
        <v>29</v>
      </c>
      <c r="P13" s="16" t="s">
        <v>92</v>
      </c>
      <c r="Q13" s="16" t="s">
        <v>93</v>
      </c>
      <c r="R13" s="16" t="s">
        <v>94</v>
      </c>
      <c r="S13" s="16" t="s">
        <v>26</v>
      </c>
      <c r="T13" s="16" t="s">
        <v>26</v>
      </c>
      <c r="U13" s="19">
        <v>5530.34</v>
      </c>
      <c r="V13" s="16" t="s">
        <v>29</v>
      </c>
      <c r="W13" s="16" t="s">
        <v>26</v>
      </c>
      <c r="X13" s="20">
        <v>15</v>
      </c>
      <c r="Y13" s="16" t="s">
        <v>97</v>
      </c>
      <c r="Z13" s="16" t="s">
        <v>121</v>
      </c>
      <c r="AA13" s="16" t="s">
        <v>122</v>
      </c>
      <c r="AB13" s="19">
        <v>15</v>
      </c>
      <c r="AC13" s="16" t="s">
        <v>26</v>
      </c>
      <c r="AD13" s="19">
        <v>5530.34</v>
      </c>
      <c r="AE13" s="16" t="s">
        <v>29</v>
      </c>
      <c r="AF13" s="19">
        <v>36868.92</v>
      </c>
      <c r="AG13" s="16" t="s">
        <v>29</v>
      </c>
      <c r="AH13" s="16" t="s">
        <v>123</v>
      </c>
    </row>
    <row r="14" spans="1:34" x14ac:dyDescent="0.35">
      <c r="A14" s="16" t="s">
        <v>83</v>
      </c>
      <c r="B14" s="16" t="s">
        <v>84</v>
      </c>
      <c r="C14" s="16" t="s">
        <v>85</v>
      </c>
      <c r="D14" s="16" t="s">
        <v>86</v>
      </c>
      <c r="E14" s="16" t="s">
        <v>26</v>
      </c>
      <c r="F14" s="16" t="s">
        <v>87</v>
      </c>
      <c r="G14" s="16" t="s">
        <v>88</v>
      </c>
      <c r="H14" s="17">
        <v>45254</v>
      </c>
      <c r="I14" s="16" t="s">
        <v>89</v>
      </c>
      <c r="J14" s="16" t="s">
        <v>90</v>
      </c>
      <c r="K14" s="18">
        <v>102</v>
      </c>
      <c r="L14" s="16" t="s">
        <v>91</v>
      </c>
      <c r="M14" s="16" t="s">
        <v>91</v>
      </c>
      <c r="N14" s="19">
        <v>36868.92</v>
      </c>
      <c r="O14" s="16" t="s">
        <v>29</v>
      </c>
      <c r="P14" s="16" t="s">
        <v>92</v>
      </c>
      <c r="Q14" s="16" t="s">
        <v>93</v>
      </c>
      <c r="R14" s="16" t="s">
        <v>94</v>
      </c>
      <c r="S14" s="16" t="s">
        <v>104</v>
      </c>
      <c r="T14" s="16" t="s">
        <v>26</v>
      </c>
      <c r="U14" s="19">
        <v>32186.57</v>
      </c>
      <c r="V14" s="16" t="s">
        <v>29</v>
      </c>
      <c r="W14" s="16" t="s">
        <v>26</v>
      </c>
      <c r="X14" s="20">
        <v>90</v>
      </c>
      <c r="Y14" s="16" t="s">
        <v>97</v>
      </c>
      <c r="Z14" s="16" t="s">
        <v>124</v>
      </c>
      <c r="AA14" s="16" t="s">
        <v>125</v>
      </c>
      <c r="AB14" s="19">
        <v>90</v>
      </c>
      <c r="AC14" s="16" t="s">
        <v>26</v>
      </c>
      <c r="AD14" s="19">
        <v>32186.57</v>
      </c>
      <c r="AE14" s="16" t="s">
        <v>29</v>
      </c>
      <c r="AF14" s="19">
        <v>35762.86</v>
      </c>
      <c r="AG14" s="16" t="s">
        <v>29</v>
      </c>
      <c r="AH14" s="16" t="s">
        <v>101</v>
      </c>
    </row>
    <row r="15" spans="1:34" x14ac:dyDescent="0.35">
      <c r="A15" s="16" t="s">
        <v>83</v>
      </c>
      <c r="B15" s="16" t="s">
        <v>84</v>
      </c>
      <c r="C15" s="16" t="s">
        <v>85</v>
      </c>
      <c r="D15" s="16" t="s">
        <v>86</v>
      </c>
      <c r="E15" s="16" t="s">
        <v>26</v>
      </c>
      <c r="F15" s="16" t="s">
        <v>87</v>
      </c>
      <c r="G15" s="16" t="s">
        <v>88</v>
      </c>
      <c r="H15" s="17">
        <v>45254</v>
      </c>
      <c r="I15" s="16" t="s">
        <v>89</v>
      </c>
      <c r="J15" s="16" t="s">
        <v>90</v>
      </c>
      <c r="K15" s="18">
        <v>102</v>
      </c>
      <c r="L15" s="16" t="s">
        <v>91</v>
      </c>
      <c r="M15" s="16" t="s">
        <v>91</v>
      </c>
      <c r="N15" s="19">
        <v>36868.92</v>
      </c>
      <c r="O15" s="16" t="s">
        <v>29</v>
      </c>
      <c r="P15" s="16" t="s">
        <v>92</v>
      </c>
      <c r="Q15" s="16" t="s">
        <v>93</v>
      </c>
      <c r="R15" s="16" t="s">
        <v>94</v>
      </c>
      <c r="S15" s="16" t="s">
        <v>104</v>
      </c>
      <c r="T15" s="16" t="s">
        <v>26</v>
      </c>
      <c r="U15" s="19">
        <v>27509.4</v>
      </c>
      <c r="V15" s="16" t="s">
        <v>29</v>
      </c>
      <c r="W15" s="16" t="s">
        <v>26</v>
      </c>
      <c r="X15" s="19">
        <v>269.7</v>
      </c>
      <c r="Y15" s="16" t="s">
        <v>29</v>
      </c>
      <c r="Z15" s="16" t="s">
        <v>126</v>
      </c>
      <c r="AA15" s="16" t="s">
        <v>127</v>
      </c>
      <c r="AB15" s="19">
        <v>0</v>
      </c>
      <c r="AC15" s="16" t="s">
        <v>26</v>
      </c>
      <c r="AD15" s="19">
        <v>27509.4</v>
      </c>
      <c r="AE15" s="16" t="s">
        <v>29</v>
      </c>
      <c r="AF15" s="20">
        <v>102</v>
      </c>
      <c r="AG15" s="16" t="s">
        <v>97</v>
      </c>
      <c r="AH15" s="16" t="s">
        <v>98</v>
      </c>
    </row>
    <row r="16" spans="1:34" x14ac:dyDescent="0.35">
      <c r="A16" s="16" t="s">
        <v>83</v>
      </c>
      <c r="B16" s="16" t="s">
        <v>84</v>
      </c>
      <c r="C16" s="16" t="s">
        <v>85</v>
      </c>
      <c r="D16" s="16" t="s">
        <v>86</v>
      </c>
      <c r="E16" s="16" t="s">
        <v>26</v>
      </c>
      <c r="F16" s="16" t="s">
        <v>87</v>
      </c>
      <c r="G16" s="16" t="s">
        <v>88</v>
      </c>
      <c r="H16" s="17">
        <v>45254</v>
      </c>
      <c r="I16" s="16" t="s">
        <v>89</v>
      </c>
      <c r="J16" s="16" t="s">
        <v>128</v>
      </c>
      <c r="K16" s="18">
        <v>40</v>
      </c>
      <c r="L16" s="16" t="s">
        <v>91</v>
      </c>
      <c r="M16" s="16" t="s">
        <v>91</v>
      </c>
      <c r="N16" s="19">
        <v>17284</v>
      </c>
      <c r="O16" s="16" t="s">
        <v>29</v>
      </c>
      <c r="P16" s="16" t="s">
        <v>129</v>
      </c>
      <c r="Q16" s="16" t="s">
        <v>93</v>
      </c>
      <c r="R16" s="16" t="s">
        <v>130</v>
      </c>
      <c r="S16" s="16" t="s">
        <v>26</v>
      </c>
      <c r="T16" s="16" t="s">
        <v>26</v>
      </c>
      <c r="U16" s="19">
        <v>17284</v>
      </c>
      <c r="V16" s="16" t="s">
        <v>29</v>
      </c>
      <c r="W16" s="16" t="s">
        <v>26</v>
      </c>
      <c r="X16" s="19">
        <v>432.1</v>
      </c>
      <c r="Y16" s="16" t="s">
        <v>29</v>
      </c>
      <c r="Z16" s="16" t="s">
        <v>95</v>
      </c>
      <c r="AA16" s="16" t="s">
        <v>96</v>
      </c>
      <c r="AB16" s="19">
        <v>0</v>
      </c>
      <c r="AC16" s="16" t="s">
        <v>26</v>
      </c>
      <c r="AD16" s="19">
        <v>17284</v>
      </c>
      <c r="AE16" s="16" t="s">
        <v>29</v>
      </c>
      <c r="AF16" s="20">
        <v>40</v>
      </c>
      <c r="AG16" s="16" t="s">
        <v>97</v>
      </c>
      <c r="AH16" s="16" t="s">
        <v>98</v>
      </c>
    </row>
    <row r="17" spans="1:34" x14ac:dyDescent="0.35">
      <c r="A17" s="16" t="s">
        <v>83</v>
      </c>
      <c r="B17" s="16" t="s">
        <v>84</v>
      </c>
      <c r="C17" s="16" t="s">
        <v>85</v>
      </c>
      <c r="D17" s="16" t="s">
        <v>86</v>
      </c>
      <c r="E17" s="16" t="s">
        <v>26</v>
      </c>
      <c r="F17" s="16" t="s">
        <v>87</v>
      </c>
      <c r="G17" s="16" t="s">
        <v>88</v>
      </c>
      <c r="H17" s="17">
        <v>45254</v>
      </c>
      <c r="I17" s="16" t="s">
        <v>89</v>
      </c>
      <c r="J17" s="16" t="s">
        <v>128</v>
      </c>
      <c r="K17" s="18">
        <v>40</v>
      </c>
      <c r="L17" s="16" t="s">
        <v>91</v>
      </c>
      <c r="M17" s="16" t="s">
        <v>91</v>
      </c>
      <c r="N17" s="19">
        <v>17284</v>
      </c>
      <c r="O17" s="16" t="s">
        <v>29</v>
      </c>
      <c r="P17" s="16" t="s">
        <v>129</v>
      </c>
      <c r="Q17" s="16" t="s">
        <v>93</v>
      </c>
      <c r="R17" s="16" t="s">
        <v>130</v>
      </c>
      <c r="S17" s="16" t="s">
        <v>26</v>
      </c>
      <c r="T17" s="16" t="s">
        <v>26</v>
      </c>
      <c r="U17" s="19">
        <v>0</v>
      </c>
      <c r="V17" s="16" t="s">
        <v>29</v>
      </c>
      <c r="W17" s="16" t="s">
        <v>26</v>
      </c>
      <c r="X17" s="20">
        <v>0</v>
      </c>
      <c r="Y17" s="16" t="s">
        <v>97</v>
      </c>
      <c r="Z17" s="16" t="s">
        <v>99</v>
      </c>
      <c r="AA17" s="16" t="s">
        <v>100</v>
      </c>
      <c r="AB17" s="19">
        <v>0</v>
      </c>
      <c r="AC17" s="16" t="s">
        <v>26</v>
      </c>
      <c r="AD17" s="19">
        <v>0</v>
      </c>
      <c r="AE17" s="16" t="s">
        <v>29</v>
      </c>
      <c r="AF17" s="19">
        <v>17284</v>
      </c>
      <c r="AG17" s="16" t="s">
        <v>29</v>
      </c>
      <c r="AH17" s="16" t="s">
        <v>101</v>
      </c>
    </row>
    <row r="18" spans="1:34" x14ac:dyDescent="0.35">
      <c r="A18" s="16" t="s">
        <v>83</v>
      </c>
      <c r="B18" s="16" t="s">
        <v>84</v>
      </c>
      <c r="C18" s="16" t="s">
        <v>85</v>
      </c>
      <c r="D18" s="16" t="s">
        <v>86</v>
      </c>
      <c r="E18" s="16" t="s">
        <v>26</v>
      </c>
      <c r="F18" s="16" t="s">
        <v>87</v>
      </c>
      <c r="G18" s="16" t="s">
        <v>88</v>
      </c>
      <c r="H18" s="17">
        <v>45254</v>
      </c>
      <c r="I18" s="16" t="s">
        <v>89</v>
      </c>
      <c r="J18" s="16" t="s">
        <v>128</v>
      </c>
      <c r="K18" s="18">
        <v>40</v>
      </c>
      <c r="L18" s="16" t="s">
        <v>91</v>
      </c>
      <c r="M18" s="16" t="s">
        <v>91</v>
      </c>
      <c r="N18" s="19">
        <v>17284</v>
      </c>
      <c r="O18" s="16" t="s">
        <v>29</v>
      </c>
      <c r="P18" s="16" t="s">
        <v>129</v>
      </c>
      <c r="Q18" s="16" t="s">
        <v>93</v>
      </c>
      <c r="R18" s="16" t="s">
        <v>130</v>
      </c>
      <c r="S18" s="16" t="s">
        <v>26</v>
      </c>
      <c r="T18" s="16" t="s">
        <v>26</v>
      </c>
      <c r="U18" s="19">
        <v>0</v>
      </c>
      <c r="V18" s="16" t="s">
        <v>29</v>
      </c>
      <c r="W18" s="16" t="s">
        <v>26</v>
      </c>
      <c r="X18" s="20">
        <v>0</v>
      </c>
      <c r="Y18" s="16" t="s">
        <v>97</v>
      </c>
      <c r="Z18" s="16" t="s">
        <v>102</v>
      </c>
      <c r="AA18" s="16" t="s">
        <v>103</v>
      </c>
      <c r="AB18" s="19">
        <v>0</v>
      </c>
      <c r="AC18" s="16" t="s">
        <v>26</v>
      </c>
      <c r="AD18" s="19">
        <v>0</v>
      </c>
      <c r="AE18" s="16" t="s">
        <v>29</v>
      </c>
      <c r="AF18" s="19">
        <v>17284</v>
      </c>
      <c r="AG18" s="16" t="s">
        <v>29</v>
      </c>
      <c r="AH18" s="16" t="s">
        <v>101</v>
      </c>
    </row>
    <row r="19" spans="1:34" x14ac:dyDescent="0.35">
      <c r="A19" s="16" t="s">
        <v>83</v>
      </c>
      <c r="B19" s="16" t="s">
        <v>84</v>
      </c>
      <c r="C19" s="16" t="s">
        <v>85</v>
      </c>
      <c r="D19" s="16" t="s">
        <v>86</v>
      </c>
      <c r="E19" s="16" t="s">
        <v>26</v>
      </c>
      <c r="F19" s="16" t="s">
        <v>87</v>
      </c>
      <c r="G19" s="16" t="s">
        <v>88</v>
      </c>
      <c r="H19" s="17">
        <v>45254</v>
      </c>
      <c r="I19" s="16" t="s">
        <v>89</v>
      </c>
      <c r="J19" s="16" t="s">
        <v>128</v>
      </c>
      <c r="K19" s="18">
        <v>40</v>
      </c>
      <c r="L19" s="16" t="s">
        <v>91</v>
      </c>
      <c r="M19" s="16" t="s">
        <v>91</v>
      </c>
      <c r="N19" s="19">
        <v>17284</v>
      </c>
      <c r="O19" s="16" t="s">
        <v>29</v>
      </c>
      <c r="P19" s="16" t="s">
        <v>129</v>
      </c>
      <c r="Q19" s="16" t="s">
        <v>93</v>
      </c>
      <c r="R19" s="16" t="s">
        <v>130</v>
      </c>
      <c r="S19" s="16" t="s">
        <v>104</v>
      </c>
      <c r="T19" s="16" t="s">
        <v>104</v>
      </c>
      <c r="U19" s="19">
        <v>-864.2</v>
      </c>
      <c r="V19" s="16" t="s">
        <v>29</v>
      </c>
      <c r="W19" s="16" t="s">
        <v>26</v>
      </c>
      <c r="X19" s="20">
        <v>-5</v>
      </c>
      <c r="Y19" s="16" t="s">
        <v>97</v>
      </c>
      <c r="Z19" s="16" t="s">
        <v>105</v>
      </c>
      <c r="AA19" s="16" t="s">
        <v>106</v>
      </c>
      <c r="AB19" s="19">
        <v>-5</v>
      </c>
      <c r="AC19" s="16" t="s">
        <v>26</v>
      </c>
      <c r="AD19" s="19">
        <v>-864.2</v>
      </c>
      <c r="AE19" s="16" t="s">
        <v>29</v>
      </c>
      <c r="AF19" s="19">
        <v>17284</v>
      </c>
      <c r="AG19" s="16" t="s">
        <v>29</v>
      </c>
      <c r="AH19" s="16" t="s">
        <v>101</v>
      </c>
    </row>
    <row r="20" spans="1:34" x14ac:dyDescent="0.35">
      <c r="A20" s="16" t="s">
        <v>83</v>
      </c>
      <c r="B20" s="16" t="s">
        <v>84</v>
      </c>
      <c r="C20" s="16" t="s">
        <v>85</v>
      </c>
      <c r="D20" s="16" t="s">
        <v>86</v>
      </c>
      <c r="E20" s="16" t="s">
        <v>26</v>
      </c>
      <c r="F20" s="16" t="s">
        <v>87</v>
      </c>
      <c r="G20" s="16" t="s">
        <v>88</v>
      </c>
      <c r="H20" s="17">
        <v>45254</v>
      </c>
      <c r="I20" s="16" t="s">
        <v>89</v>
      </c>
      <c r="J20" s="16" t="s">
        <v>128</v>
      </c>
      <c r="K20" s="18">
        <v>40</v>
      </c>
      <c r="L20" s="16" t="s">
        <v>91</v>
      </c>
      <c r="M20" s="16" t="s">
        <v>91</v>
      </c>
      <c r="N20" s="19">
        <v>17284</v>
      </c>
      <c r="O20" s="16" t="s">
        <v>29</v>
      </c>
      <c r="P20" s="16" t="s">
        <v>129</v>
      </c>
      <c r="Q20" s="16" t="s">
        <v>93</v>
      </c>
      <c r="R20" s="16" t="s">
        <v>130</v>
      </c>
      <c r="S20" s="16" t="s">
        <v>104</v>
      </c>
      <c r="T20" s="16" t="s">
        <v>104</v>
      </c>
      <c r="U20" s="19">
        <v>-120.99</v>
      </c>
      <c r="V20" s="16" t="s">
        <v>29</v>
      </c>
      <c r="W20" s="16" t="s">
        <v>26</v>
      </c>
      <c r="X20" s="20">
        <v>-0.7</v>
      </c>
      <c r="Y20" s="16" t="s">
        <v>97</v>
      </c>
      <c r="Z20" s="16" t="s">
        <v>107</v>
      </c>
      <c r="AA20" s="16" t="s">
        <v>108</v>
      </c>
      <c r="AB20" s="19">
        <v>-0.7</v>
      </c>
      <c r="AC20" s="16" t="s">
        <v>26</v>
      </c>
      <c r="AD20" s="19">
        <v>-120.99</v>
      </c>
      <c r="AE20" s="16" t="s">
        <v>29</v>
      </c>
      <c r="AF20" s="19">
        <v>17284</v>
      </c>
      <c r="AG20" s="16" t="s">
        <v>29</v>
      </c>
      <c r="AH20" s="16" t="s">
        <v>101</v>
      </c>
    </row>
    <row r="21" spans="1:34" x14ac:dyDescent="0.35">
      <c r="A21" s="16" t="s">
        <v>83</v>
      </c>
      <c r="B21" s="16" t="s">
        <v>84</v>
      </c>
      <c r="C21" s="16" t="s">
        <v>85</v>
      </c>
      <c r="D21" s="16" t="s">
        <v>86</v>
      </c>
      <c r="E21" s="16" t="s">
        <v>26</v>
      </c>
      <c r="F21" s="16" t="s">
        <v>87</v>
      </c>
      <c r="G21" s="16" t="s">
        <v>88</v>
      </c>
      <c r="H21" s="17">
        <v>45254</v>
      </c>
      <c r="I21" s="16" t="s">
        <v>89</v>
      </c>
      <c r="J21" s="16" t="s">
        <v>128</v>
      </c>
      <c r="K21" s="18">
        <v>40</v>
      </c>
      <c r="L21" s="16" t="s">
        <v>91</v>
      </c>
      <c r="M21" s="16" t="s">
        <v>91</v>
      </c>
      <c r="N21" s="19">
        <v>17284</v>
      </c>
      <c r="O21" s="16" t="s">
        <v>29</v>
      </c>
      <c r="P21" s="16" t="s">
        <v>129</v>
      </c>
      <c r="Q21" s="16" t="s">
        <v>93</v>
      </c>
      <c r="R21" s="16" t="s">
        <v>130</v>
      </c>
      <c r="S21" s="16" t="s">
        <v>104</v>
      </c>
      <c r="T21" s="16" t="s">
        <v>104</v>
      </c>
      <c r="U21" s="19">
        <v>-259.26</v>
      </c>
      <c r="V21" s="16" t="s">
        <v>29</v>
      </c>
      <c r="W21" s="16" t="s">
        <v>26</v>
      </c>
      <c r="X21" s="20">
        <v>-1.5</v>
      </c>
      <c r="Y21" s="16" t="s">
        <v>97</v>
      </c>
      <c r="Z21" s="16" t="s">
        <v>109</v>
      </c>
      <c r="AA21" s="16" t="s">
        <v>110</v>
      </c>
      <c r="AB21" s="19">
        <v>-1.5</v>
      </c>
      <c r="AC21" s="16" t="s">
        <v>26</v>
      </c>
      <c r="AD21" s="19">
        <v>-259.26</v>
      </c>
      <c r="AE21" s="16" t="s">
        <v>29</v>
      </c>
      <c r="AF21" s="19">
        <v>17284</v>
      </c>
      <c r="AG21" s="16" t="s">
        <v>29</v>
      </c>
      <c r="AH21" s="16" t="s">
        <v>101</v>
      </c>
    </row>
    <row r="22" spans="1:34" x14ac:dyDescent="0.35">
      <c r="A22" s="16" t="s">
        <v>83</v>
      </c>
      <c r="B22" s="16" t="s">
        <v>84</v>
      </c>
      <c r="C22" s="16" t="s">
        <v>85</v>
      </c>
      <c r="D22" s="16" t="s">
        <v>86</v>
      </c>
      <c r="E22" s="16" t="s">
        <v>26</v>
      </c>
      <c r="F22" s="16" t="s">
        <v>87</v>
      </c>
      <c r="G22" s="16" t="s">
        <v>88</v>
      </c>
      <c r="H22" s="17">
        <v>45254</v>
      </c>
      <c r="I22" s="16" t="s">
        <v>89</v>
      </c>
      <c r="J22" s="16" t="s">
        <v>128</v>
      </c>
      <c r="K22" s="18">
        <v>40</v>
      </c>
      <c r="L22" s="16" t="s">
        <v>91</v>
      </c>
      <c r="M22" s="16" t="s">
        <v>91</v>
      </c>
      <c r="N22" s="19">
        <v>17284</v>
      </c>
      <c r="O22" s="16" t="s">
        <v>29</v>
      </c>
      <c r="P22" s="16" t="s">
        <v>129</v>
      </c>
      <c r="Q22" s="16" t="s">
        <v>93</v>
      </c>
      <c r="R22" s="16" t="s">
        <v>130</v>
      </c>
      <c r="S22" s="16" t="s">
        <v>104</v>
      </c>
      <c r="T22" s="16" t="s">
        <v>104</v>
      </c>
      <c r="U22" s="19">
        <v>-916.05</v>
      </c>
      <c r="V22" s="16" t="s">
        <v>29</v>
      </c>
      <c r="W22" s="16" t="s">
        <v>26</v>
      </c>
      <c r="X22" s="20">
        <v>-5.3</v>
      </c>
      <c r="Y22" s="16" t="s">
        <v>97</v>
      </c>
      <c r="Z22" s="16" t="s">
        <v>111</v>
      </c>
      <c r="AA22" s="16" t="s">
        <v>112</v>
      </c>
      <c r="AB22" s="19">
        <v>-5.3</v>
      </c>
      <c r="AC22" s="16" t="s">
        <v>26</v>
      </c>
      <c r="AD22" s="19">
        <v>-916.05</v>
      </c>
      <c r="AE22" s="16" t="s">
        <v>29</v>
      </c>
      <c r="AF22" s="19">
        <v>17284</v>
      </c>
      <c r="AG22" s="16" t="s">
        <v>29</v>
      </c>
      <c r="AH22" s="16" t="s">
        <v>101</v>
      </c>
    </row>
    <row r="23" spans="1:34" x14ac:dyDescent="0.35">
      <c r="A23" s="16" t="s">
        <v>83</v>
      </c>
      <c r="B23" s="16" t="s">
        <v>84</v>
      </c>
      <c r="C23" s="16" t="s">
        <v>85</v>
      </c>
      <c r="D23" s="16" t="s">
        <v>86</v>
      </c>
      <c r="E23" s="16" t="s">
        <v>26</v>
      </c>
      <c r="F23" s="16" t="s">
        <v>87</v>
      </c>
      <c r="G23" s="16" t="s">
        <v>88</v>
      </c>
      <c r="H23" s="17">
        <v>45254</v>
      </c>
      <c r="I23" s="16" t="s">
        <v>89</v>
      </c>
      <c r="J23" s="16" t="s">
        <v>128</v>
      </c>
      <c r="K23" s="18">
        <v>40</v>
      </c>
      <c r="L23" s="16" t="s">
        <v>91</v>
      </c>
      <c r="M23" s="16" t="s">
        <v>91</v>
      </c>
      <c r="N23" s="19">
        <v>17284</v>
      </c>
      <c r="O23" s="16" t="s">
        <v>29</v>
      </c>
      <c r="P23" s="16" t="s">
        <v>129</v>
      </c>
      <c r="Q23" s="16" t="s">
        <v>93</v>
      </c>
      <c r="R23" s="16" t="s">
        <v>130</v>
      </c>
      <c r="S23" s="16" t="s">
        <v>104</v>
      </c>
      <c r="T23" s="16" t="s">
        <v>104</v>
      </c>
      <c r="U23" s="19">
        <v>-380.25</v>
      </c>
      <c r="V23" s="16" t="s">
        <v>29</v>
      </c>
      <c r="W23" s="16" t="s">
        <v>26</v>
      </c>
      <c r="X23" s="20">
        <v>-2.2000000000000002</v>
      </c>
      <c r="Y23" s="16" t="s">
        <v>97</v>
      </c>
      <c r="Z23" s="16" t="s">
        <v>113</v>
      </c>
      <c r="AA23" s="16" t="s">
        <v>114</v>
      </c>
      <c r="AB23" s="19">
        <v>-2.2000000000000002</v>
      </c>
      <c r="AC23" s="16" t="s">
        <v>26</v>
      </c>
      <c r="AD23" s="19">
        <v>-380.25</v>
      </c>
      <c r="AE23" s="16" t="s">
        <v>29</v>
      </c>
      <c r="AF23" s="19">
        <v>17284</v>
      </c>
      <c r="AG23" s="16" t="s">
        <v>29</v>
      </c>
      <c r="AH23" s="16" t="s">
        <v>101</v>
      </c>
    </row>
    <row r="24" spans="1:34" x14ac:dyDescent="0.35">
      <c r="A24" s="16" t="s">
        <v>83</v>
      </c>
      <c r="B24" s="16" t="s">
        <v>84</v>
      </c>
      <c r="C24" s="16" t="s">
        <v>85</v>
      </c>
      <c r="D24" s="16" t="s">
        <v>86</v>
      </c>
      <c r="E24" s="16" t="s">
        <v>26</v>
      </c>
      <c r="F24" s="16" t="s">
        <v>87</v>
      </c>
      <c r="G24" s="16" t="s">
        <v>88</v>
      </c>
      <c r="H24" s="17">
        <v>45254</v>
      </c>
      <c r="I24" s="16" t="s">
        <v>89</v>
      </c>
      <c r="J24" s="16" t="s">
        <v>128</v>
      </c>
      <c r="K24" s="18">
        <v>40</v>
      </c>
      <c r="L24" s="16" t="s">
        <v>91</v>
      </c>
      <c r="M24" s="16" t="s">
        <v>91</v>
      </c>
      <c r="N24" s="19">
        <v>17284</v>
      </c>
      <c r="O24" s="16" t="s">
        <v>29</v>
      </c>
      <c r="P24" s="16" t="s">
        <v>129</v>
      </c>
      <c r="Q24" s="16" t="s">
        <v>93</v>
      </c>
      <c r="R24" s="16" t="s">
        <v>130</v>
      </c>
      <c r="S24" s="16" t="s">
        <v>104</v>
      </c>
      <c r="T24" s="16" t="s">
        <v>104</v>
      </c>
      <c r="U24" s="19">
        <v>-432.1</v>
      </c>
      <c r="V24" s="16" t="s">
        <v>29</v>
      </c>
      <c r="W24" s="16" t="s">
        <v>26</v>
      </c>
      <c r="X24" s="20">
        <v>-2.5</v>
      </c>
      <c r="Y24" s="16" t="s">
        <v>97</v>
      </c>
      <c r="Z24" s="16" t="s">
        <v>115</v>
      </c>
      <c r="AA24" s="16" t="s">
        <v>116</v>
      </c>
      <c r="AB24" s="19">
        <v>-2.5</v>
      </c>
      <c r="AC24" s="16" t="s">
        <v>26</v>
      </c>
      <c r="AD24" s="19">
        <v>-432.1</v>
      </c>
      <c r="AE24" s="16" t="s">
        <v>29</v>
      </c>
      <c r="AF24" s="19">
        <v>17284</v>
      </c>
      <c r="AG24" s="16" t="s">
        <v>29</v>
      </c>
      <c r="AH24" s="16" t="s">
        <v>101</v>
      </c>
    </row>
    <row r="25" spans="1:34" x14ac:dyDescent="0.35">
      <c r="A25" s="16" t="s">
        <v>83</v>
      </c>
      <c r="B25" s="16" t="s">
        <v>84</v>
      </c>
      <c r="C25" s="16" t="s">
        <v>85</v>
      </c>
      <c r="D25" s="16" t="s">
        <v>86</v>
      </c>
      <c r="E25" s="16" t="s">
        <v>26</v>
      </c>
      <c r="F25" s="16" t="s">
        <v>87</v>
      </c>
      <c r="G25" s="16" t="s">
        <v>88</v>
      </c>
      <c r="H25" s="17">
        <v>45254</v>
      </c>
      <c r="I25" s="16" t="s">
        <v>89</v>
      </c>
      <c r="J25" s="16" t="s">
        <v>128</v>
      </c>
      <c r="K25" s="18">
        <v>40</v>
      </c>
      <c r="L25" s="16" t="s">
        <v>91</v>
      </c>
      <c r="M25" s="16" t="s">
        <v>91</v>
      </c>
      <c r="N25" s="19">
        <v>17284</v>
      </c>
      <c r="O25" s="16" t="s">
        <v>29</v>
      </c>
      <c r="P25" s="16" t="s">
        <v>129</v>
      </c>
      <c r="Q25" s="16" t="s">
        <v>93</v>
      </c>
      <c r="R25" s="16" t="s">
        <v>130</v>
      </c>
      <c r="S25" s="16" t="s">
        <v>104</v>
      </c>
      <c r="T25" s="16" t="s">
        <v>104</v>
      </c>
      <c r="U25" s="19">
        <v>-34.57</v>
      </c>
      <c r="V25" s="16" t="s">
        <v>29</v>
      </c>
      <c r="W25" s="16" t="s">
        <v>26</v>
      </c>
      <c r="X25" s="20">
        <v>-0.2</v>
      </c>
      <c r="Y25" s="16" t="s">
        <v>97</v>
      </c>
      <c r="Z25" s="16" t="s">
        <v>117</v>
      </c>
      <c r="AA25" s="16" t="s">
        <v>118</v>
      </c>
      <c r="AB25" s="19">
        <v>-0.2</v>
      </c>
      <c r="AC25" s="16" t="s">
        <v>26</v>
      </c>
      <c r="AD25" s="19">
        <v>-34.57</v>
      </c>
      <c r="AE25" s="16" t="s">
        <v>29</v>
      </c>
      <c r="AF25" s="19">
        <v>17284</v>
      </c>
      <c r="AG25" s="16" t="s">
        <v>29</v>
      </c>
      <c r="AH25" s="16" t="s">
        <v>101</v>
      </c>
    </row>
    <row r="26" spans="1:34" x14ac:dyDescent="0.35">
      <c r="A26" s="16" t="s">
        <v>83</v>
      </c>
      <c r="B26" s="16" t="s">
        <v>84</v>
      </c>
      <c r="C26" s="16" t="s">
        <v>85</v>
      </c>
      <c r="D26" s="16" t="s">
        <v>86</v>
      </c>
      <c r="E26" s="16" t="s">
        <v>26</v>
      </c>
      <c r="F26" s="16" t="s">
        <v>87</v>
      </c>
      <c r="G26" s="16" t="s">
        <v>88</v>
      </c>
      <c r="H26" s="17">
        <v>45254</v>
      </c>
      <c r="I26" s="16" t="s">
        <v>89</v>
      </c>
      <c r="J26" s="16" t="s">
        <v>128</v>
      </c>
      <c r="K26" s="18">
        <v>40</v>
      </c>
      <c r="L26" s="16" t="s">
        <v>91</v>
      </c>
      <c r="M26" s="16" t="s">
        <v>91</v>
      </c>
      <c r="N26" s="19">
        <v>17284</v>
      </c>
      <c r="O26" s="16" t="s">
        <v>29</v>
      </c>
      <c r="P26" s="16" t="s">
        <v>129</v>
      </c>
      <c r="Q26" s="16" t="s">
        <v>93</v>
      </c>
      <c r="R26" s="16" t="s">
        <v>130</v>
      </c>
      <c r="S26" s="16" t="s">
        <v>104</v>
      </c>
      <c r="T26" s="16" t="s">
        <v>104</v>
      </c>
      <c r="U26" s="19">
        <v>-103.7</v>
      </c>
      <c r="V26" s="16" t="s">
        <v>29</v>
      </c>
      <c r="W26" s="16" t="s">
        <v>26</v>
      </c>
      <c r="X26" s="20">
        <v>-0.6</v>
      </c>
      <c r="Y26" s="16" t="s">
        <v>97</v>
      </c>
      <c r="Z26" s="16" t="s">
        <v>119</v>
      </c>
      <c r="AA26" s="16" t="s">
        <v>120</v>
      </c>
      <c r="AB26" s="19">
        <v>-0.6</v>
      </c>
      <c r="AC26" s="16" t="s">
        <v>26</v>
      </c>
      <c r="AD26" s="19">
        <v>-103.7</v>
      </c>
      <c r="AE26" s="16" t="s">
        <v>29</v>
      </c>
      <c r="AF26" s="19">
        <v>17284</v>
      </c>
      <c r="AG26" s="16" t="s">
        <v>29</v>
      </c>
      <c r="AH26" s="16" t="s">
        <v>101</v>
      </c>
    </row>
    <row r="27" spans="1:34" x14ac:dyDescent="0.35">
      <c r="A27" s="16" t="s">
        <v>83</v>
      </c>
      <c r="B27" s="16" t="s">
        <v>84</v>
      </c>
      <c r="C27" s="16" t="s">
        <v>85</v>
      </c>
      <c r="D27" s="16" t="s">
        <v>86</v>
      </c>
      <c r="E27" s="16" t="s">
        <v>26</v>
      </c>
      <c r="F27" s="16" t="s">
        <v>87</v>
      </c>
      <c r="G27" s="16" t="s">
        <v>88</v>
      </c>
      <c r="H27" s="17">
        <v>45254</v>
      </c>
      <c r="I27" s="16" t="s">
        <v>89</v>
      </c>
      <c r="J27" s="16" t="s">
        <v>128</v>
      </c>
      <c r="K27" s="18">
        <v>40</v>
      </c>
      <c r="L27" s="16" t="s">
        <v>91</v>
      </c>
      <c r="M27" s="16" t="s">
        <v>91</v>
      </c>
      <c r="N27" s="19">
        <v>17284</v>
      </c>
      <c r="O27" s="16" t="s">
        <v>29</v>
      </c>
      <c r="P27" s="16" t="s">
        <v>129</v>
      </c>
      <c r="Q27" s="16" t="s">
        <v>93</v>
      </c>
      <c r="R27" s="16" t="s">
        <v>130</v>
      </c>
      <c r="S27" s="16" t="s">
        <v>26</v>
      </c>
      <c r="T27" s="16" t="s">
        <v>26</v>
      </c>
      <c r="U27" s="19">
        <v>2592.6</v>
      </c>
      <c r="V27" s="16" t="s">
        <v>29</v>
      </c>
      <c r="W27" s="16" t="s">
        <v>26</v>
      </c>
      <c r="X27" s="20">
        <v>15</v>
      </c>
      <c r="Y27" s="16" t="s">
        <v>97</v>
      </c>
      <c r="Z27" s="16" t="s">
        <v>121</v>
      </c>
      <c r="AA27" s="16" t="s">
        <v>122</v>
      </c>
      <c r="AB27" s="19">
        <v>15</v>
      </c>
      <c r="AC27" s="16" t="s">
        <v>26</v>
      </c>
      <c r="AD27" s="19">
        <v>2592.6</v>
      </c>
      <c r="AE27" s="16" t="s">
        <v>29</v>
      </c>
      <c r="AF27" s="19">
        <v>17284</v>
      </c>
      <c r="AG27" s="16" t="s">
        <v>29</v>
      </c>
      <c r="AH27" s="16" t="s">
        <v>123</v>
      </c>
    </row>
    <row r="28" spans="1:34" x14ac:dyDescent="0.35">
      <c r="A28" s="16" t="s">
        <v>83</v>
      </c>
      <c r="B28" s="16" t="s">
        <v>84</v>
      </c>
      <c r="C28" s="16" t="s">
        <v>85</v>
      </c>
      <c r="D28" s="16" t="s">
        <v>86</v>
      </c>
      <c r="E28" s="16" t="s">
        <v>26</v>
      </c>
      <c r="F28" s="16" t="s">
        <v>87</v>
      </c>
      <c r="G28" s="16" t="s">
        <v>88</v>
      </c>
      <c r="H28" s="17">
        <v>45254</v>
      </c>
      <c r="I28" s="16" t="s">
        <v>89</v>
      </c>
      <c r="J28" s="16" t="s">
        <v>128</v>
      </c>
      <c r="K28" s="18">
        <v>40</v>
      </c>
      <c r="L28" s="16" t="s">
        <v>91</v>
      </c>
      <c r="M28" s="16" t="s">
        <v>91</v>
      </c>
      <c r="N28" s="19">
        <v>17284</v>
      </c>
      <c r="O28" s="16" t="s">
        <v>29</v>
      </c>
      <c r="P28" s="16" t="s">
        <v>129</v>
      </c>
      <c r="Q28" s="16" t="s">
        <v>93</v>
      </c>
      <c r="R28" s="16" t="s">
        <v>130</v>
      </c>
      <c r="S28" s="16" t="s">
        <v>104</v>
      </c>
      <c r="T28" s="16" t="s">
        <v>26</v>
      </c>
      <c r="U28" s="19">
        <v>15088.93</v>
      </c>
      <c r="V28" s="16" t="s">
        <v>29</v>
      </c>
      <c r="W28" s="16" t="s">
        <v>26</v>
      </c>
      <c r="X28" s="20">
        <v>90</v>
      </c>
      <c r="Y28" s="16" t="s">
        <v>97</v>
      </c>
      <c r="Z28" s="16" t="s">
        <v>124</v>
      </c>
      <c r="AA28" s="16" t="s">
        <v>125</v>
      </c>
      <c r="AB28" s="19">
        <v>90</v>
      </c>
      <c r="AC28" s="16" t="s">
        <v>26</v>
      </c>
      <c r="AD28" s="19">
        <v>15088.93</v>
      </c>
      <c r="AE28" s="16" t="s">
        <v>29</v>
      </c>
      <c r="AF28" s="19">
        <v>16765.48</v>
      </c>
      <c r="AG28" s="16" t="s">
        <v>29</v>
      </c>
      <c r="AH28" s="16" t="s">
        <v>101</v>
      </c>
    </row>
    <row r="29" spans="1:34" x14ac:dyDescent="0.35">
      <c r="A29" s="16" t="s">
        <v>83</v>
      </c>
      <c r="B29" s="16" t="s">
        <v>84</v>
      </c>
      <c r="C29" s="16" t="s">
        <v>85</v>
      </c>
      <c r="D29" s="16" t="s">
        <v>86</v>
      </c>
      <c r="E29" s="16" t="s">
        <v>26</v>
      </c>
      <c r="F29" s="16" t="s">
        <v>87</v>
      </c>
      <c r="G29" s="16" t="s">
        <v>88</v>
      </c>
      <c r="H29" s="17">
        <v>45254</v>
      </c>
      <c r="I29" s="16" t="s">
        <v>89</v>
      </c>
      <c r="J29" s="16" t="s">
        <v>128</v>
      </c>
      <c r="K29" s="18">
        <v>40</v>
      </c>
      <c r="L29" s="16" t="s">
        <v>91</v>
      </c>
      <c r="M29" s="16" t="s">
        <v>91</v>
      </c>
      <c r="N29" s="19">
        <v>17284</v>
      </c>
      <c r="O29" s="16" t="s">
        <v>29</v>
      </c>
      <c r="P29" s="16" t="s">
        <v>129</v>
      </c>
      <c r="Q29" s="16" t="s">
        <v>93</v>
      </c>
      <c r="R29" s="16" t="s">
        <v>130</v>
      </c>
      <c r="S29" s="16" t="s">
        <v>104</v>
      </c>
      <c r="T29" s="16" t="s">
        <v>26</v>
      </c>
      <c r="U29" s="19">
        <v>10953.6</v>
      </c>
      <c r="V29" s="16" t="s">
        <v>29</v>
      </c>
      <c r="W29" s="16" t="s">
        <v>26</v>
      </c>
      <c r="X29" s="19">
        <v>273.83999999999997</v>
      </c>
      <c r="Y29" s="16" t="s">
        <v>29</v>
      </c>
      <c r="Z29" s="16" t="s">
        <v>126</v>
      </c>
      <c r="AA29" s="16" t="s">
        <v>127</v>
      </c>
      <c r="AB29" s="19">
        <v>0</v>
      </c>
      <c r="AC29" s="16" t="s">
        <v>26</v>
      </c>
      <c r="AD29" s="19">
        <v>10953.6</v>
      </c>
      <c r="AE29" s="16" t="s">
        <v>29</v>
      </c>
      <c r="AF29" s="20">
        <v>40</v>
      </c>
      <c r="AG29" s="16" t="s">
        <v>97</v>
      </c>
      <c r="AH29" s="16" t="s">
        <v>98</v>
      </c>
    </row>
    <row r="30" spans="1:34" x14ac:dyDescent="0.35">
      <c r="A30" s="21" t="s">
        <v>26</v>
      </c>
      <c r="B30" s="21" t="s">
        <v>26</v>
      </c>
      <c r="C30" s="21" t="s">
        <v>26</v>
      </c>
      <c r="D30" s="21" t="s">
        <v>26</v>
      </c>
      <c r="E30" s="21" t="s">
        <v>26</v>
      </c>
      <c r="F30" s="21" t="s">
        <v>26</v>
      </c>
      <c r="G30" s="21" t="s">
        <v>26</v>
      </c>
      <c r="H30" s="22"/>
      <c r="I30" s="21" t="s">
        <v>26</v>
      </c>
      <c r="J30" s="21" t="s">
        <v>26</v>
      </c>
      <c r="K30" s="23">
        <v>1988</v>
      </c>
      <c r="L30" s="21" t="s">
        <v>91</v>
      </c>
      <c r="M30" s="21" t="s">
        <v>26</v>
      </c>
      <c r="N30" s="24">
        <v>758140.88</v>
      </c>
      <c r="O30" s="21" t="s">
        <v>29</v>
      </c>
      <c r="P30" s="21" t="s">
        <v>26</v>
      </c>
      <c r="Q30" s="21" t="s">
        <v>26</v>
      </c>
      <c r="R30" s="21" t="s">
        <v>26</v>
      </c>
      <c r="S30" s="21" t="s">
        <v>26</v>
      </c>
      <c r="T30" s="21" t="s">
        <v>26</v>
      </c>
      <c r="U30" s="24">
        <v>138266.84</v>
      </c>
      <c r="V30" s="21" t="s">
        <v>29</v>
      </c>
      <c r="W30" s="21" t="s">
        <v>26</v>
      </c>
      <c r="X30" s="25">
        <v>174</v>
      </c>
      <c r="Y30" s="21" t="s">
        <v>97</v>
      </c>
      <c r="Z30" s="21" t="s">
        <v>26</v>
      </c>
      <c r="AA30" s="21" t="s">
        <v>26</v>
      </c>
      <c r="AB30" s="24">
        <v>174</v>
      </c>
      <c r="AC30" s="21" t="s">
        <v>26</v>
      </c>
      <c r="AD30" s="24">
        <v>138266.84</v>
      </c>
      <c r="AE30" s="21" t="s">
        <v>29</v>
      </c>
      <c r="AF30" s="25">
        <v>284</v>
      </c>
      <c r="AG30" s="21" t="s">
        <v>97</v>
      </c>
      <c r="AH30" s="21" t="s">
        <v>26</v>
      </c>
    </row>
    <row r="31" spans="1:34" x14ac:dyDescent="0.35">
      <c r="A31" s="21" t="s">
        <v>26</v>
      </c>
      <c r="B31" s="21" t="s">
        <v>26</v>
      </c>
      <c r="C31" s="21" t="s">
        <v>26</v>
      </c>
      <c r="D31" s="21" t="s">
        <v>26</v>
      </c>
      <c r="E31" s="21" t="s">
        <v>26</v>
      </c>
      <c r="F31" s="21" t="s">
        <v>26</v>
      </c>
      <c r="G31" s="21" t="s">
        <v>26</v>
      </c>
      <c r="H31" s="22"/>
      <c r="I31" s="21" t="s">
        <v>26</v>
      </c>
      <c r="J31" s="21" t="s">
        <v>26</v>
      </c>
      <c r="K31" s="23"/>
      <c r="L31" s="21" t="s">
        <v>26</v>
      </c>
      <c r="M31" s="21" t="s">
        <v>26</v>
      </c>
      <c r="N31" s="23"/>
      <c r="O31" s="21" t="s">
        <v>26</v>
      </c>
      <c r="P31" s="21" t="s">
        <v>26</v>
      </c>
      <c r="Q31" s="21" t="s">
        <v>26</v>
      </c>
      <c r="R31" s="21" t="s">
        <v>26</v>
      </c>
      <c r="S31" s="21" t="s">
        <v>26</v>
      </c>
      <c r="T31" s="21" t="s">
        <v>26</v>
      </c>
      <c r="U31" s="23"/>
      <c r="V31" s="21" t="s">
        <v>26</v>
      </c>
      <c r="W31" s="21" t="s">
        <v>26</v>
      </c>
      <c r="X31" s="24">
        <v>1337.1</v>
      </c>
      <c r="Y31" s="21" t="s">
        <v>29</v>
      </c>
      <c r="Z31" s="21" t="s">
        <v>26</v>
      </c>
      <c r="AA31" s="21" t="s">
        <v>26</v>
      </c>
      <c r="AB31" s="23"/>
      <c r="AC31" s="21" t="s">
        <v>26</v>
      </c>
      <c r="AD31" s="23"/>
      <c r="AE31" s="21" t="s">
        <v>26</v>
      </c>
      <c r="AF31" s="24">
        <v>648210.46</v>
      </c>
      <c r="AG31" s="21" t="s">
        <v>29</v>
      </c>
      <c r="AH31" s="21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257E958E1FC47A2EBD7E42FA57CAB" ma:contentTypeVersion="16" ma:contentTypeDescription="Create a new document." ma:contentTypeScope="" ma:versionID="42bf687c3d84279733e19396a91b2568">
  <xsd:schema xmlns:xsd="http://www.w3.org/2001/XMLSchema" xmlns:xs="http://www.w3.org/2001/XMLSchema" xmlns:p="http://schemas.microsoft.com/office/2006/metadata/properties" xmlns:ns2="61c2b26a-c47a-4a8e-914d-1c50d1a544ae" xmlns:ns3="c20f5f16-bb4c-4483-bf44-8fda0c011d77" targetNamespace="http://schemas.microsoft.com/office/2006/metadata/properties" ma:root="true" ma:fieldsID="103f39e3787df6daaa869ebbab474ff1" ns2:_="" ns3:_="">
    <xsd:import namespace="61c2b26a-c47a-4a8e-914d-1c50d1a544ae"/>
    <xsd:import namespace="c20f5f16-bb4c-4483-bf44-8fda0c011d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2b26a-c47a-4a8e-914d-1c50d1a544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166bbd-2617-48c1-9d9c-26cd5c3e76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f5f16-bb4c-4483-bf44-8fda0c011d7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83279a9-6571-4832-a1b0-4438941ab8de}" ma:internalName="TaxCatchAll" ma:showField="CatchAllData" ma:web="c20f5f16-bb4c-4483-bf44-8fda0c011d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c2b26a-c47a-4a8e-914d-1c50d1a544ae">
      <Terms xmlns="http://schemas.microsoft.com/office/infopath/2007/PartnerControls"/>
    </lcf76f155ced4ddcb4097134ff3c332f>
    <TaxCatchAll xmlns="c20f5f16-bb4c-4483-bf44-8fda0c011d77" xsi:nil="true"/>
  </documentManagement>
</p:properties>
</file>

<file path=customXml/itemProps1.xml><?xml version="1.0" encoding="utf-8"?>
<ds:datastoreItem xmlns:ds="http://schemas.openxmlformats.org/officeDocument/2006/customXml" ds:itemID="{F0E9EA0F-9936-4998-8478-A88C744893DD}"/>
</file>

<file path=customXml/itemProps2.xml><?xml version="1.0" encoding="utf-8"?>
<ds:datastoreItem xmlns:ds="http://schemas.openxmlformats.org/officeDocument/2006/customXml" ds:itemID="{A3BA6316-7B19-4DC8-9E6E-B17DDF0D6A1F}"/>
</file>

<file path=customXml/itemProps3.xml><?xml version="1.0" encoding="utf-8"?>
<ds:datastoreItem xmlns:ds="http://schemas.openxmlformats.org/officeDocument/2006/customXml" ds:itemID="{C1C228C8-ED31-4D7E-B885-E14B1F2D669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RemittanceAdvice</vt:lpstr>
      <vt:lpstr>pivot zzsd TT</vt:lpstr>
      <vt:lpstr>zzsd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Charmaine Seas</dc:creator>
  <cp:lastModifiedBy>Rina De Beer</cp:lastModifiedBy>
  <dcterms:created xsi:type="dcterms:W3CDTF">2024-01-08T09:31:17Z</dcterms:created>
  <dcterms:modified xsi:type="dcterms:W3CDTF">2024-01-09T08:57:34Z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0x0101003CE257E958E1FC47A2EBD7E42FA57CAB</vt:lpwstr>
  </property>
  <property fmtid="{D5CDD505-2E9C-101B-9397-08002B2CF9AE}" pid="3" name="Order">
    <vt:r8>4019200</vt:r8>
  </property>
</Properties>
</file>