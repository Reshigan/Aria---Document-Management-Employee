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iplomatg.sharepoint.com/sites/DSA-FS/Finance/Debtors/OUPA/PnP Remittances/2025/"/>
    </mc:Choice>
  </mc:AlternateContent>
  <xr:revisionPtr revIDLastSave="0" documentId="8_{BCEBC475-BA28-4840-94D0-1F0438F3A143}" xr6:coauthVersionLast="47" xr6:coauthVersionMax="47" xr10:uidLastSave="{00000000-0000-0000-0000-000000000000}"/>
  <bookViews>
    <workbookView xWindow="28680" yWindow="-120" windowWidth="29040" windowHeight="15720" firstSheet="1" activeTab="1" xr2:uid="{2BADAFE6-FFFD-43DA-BECC-947567305351}"/>
  </bookViews>
  <sheets>
    <sheet name="PnP_RemittanceAdvices R2,494,05" sheetId="1" r:id="rId1"/>
    <sheet name="Claims to be raised" sheetId="2" r:id="rId2"/>
    <sheet name="Inv paid" sheetId="3" r:id="rId3"/>
  </sheets>
  <definedNames>
    <definedName name="_xlnm._FilterDatabase" localSheetId="0" hidden="1">'PnP_RemittanceAdvices R2,494,05'!$A$1:$N$162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8" i="3" l="1"/>
  <c r="L17" i="3"/>
  <c r="M13" i="2"/>
  <c r="L3" i="2"/>
</calcChain>
</file>

<file path=xl/sharedStrings.xml><?xml version="1.0" encoding="utf-8"?>
<sst xmlns="http://schemas.openxmlformats.org/spreadsheetml/2006/main" count="335" uniqueCount="74">
  <si>
    <t>Level</t>
  </si>
  <si>
    <t>LineItem</t>
  </si>
  <si>
    <t>Message ID / Store GLN</t>
  </si>
  <si>
    <t>PnP Vendor / Store Code</t>
  </si>
  <si>
    <t>STORE DESCRIPTION</t>
  </si>
  <si>
    <t>Date</t>
  </si>
  <si>
    <t>Type</t>
  </si>
  <si>
    <t>Document Type</t>
  </si>
  <si>
    <t>PnP Reference</t>
  </si>
  <si>
    <t>Vendor Reference</t>
  </si>
  <si>
    <t>Item Text</t>
  </si>
  <si>
    <t>Original Amount</t>
  </si>
  <si>
    <t>Adjustment Amount</t>
  </si>
  <si>
    <t>Net Amount</t>
  </si>
  <si>
    <t>Currency</t>
  </si>
  <si>
    <t>Amount Total</t>
  </si>
  <si>
    <t>ZAR</t>
  </si>
  <si>
    <t>Amount Net</t>
  </si>
  <si>
    <t>Amount Vat</t>
  </si>
  <si>
    <t>KC26</t>
  </si>
  <si>
    <t>HYPER DURBAN NORTH</t>
  </si>
  <si>
    <t>INVOICE</t>
  </si>
  <si>
    <t>RE Invoice - gross</t>
  </si>
  <si>
    <t>XJ 3.000 % Cash Disc. Merch.</t>
  </si>
  <si>
    <t>XC 0.500 % Category Management</t>
  </si>
  <si>
    <t>XI 6.000 % Incentive Discount</t>
  </si>
  <si>
    <t>XD 0.500 % Swell Allowance</t>
  </si>
  <si>
    <t>XF 4.200 % Advertising Allow.</t>
  </si>
  <si>
    <t>X1 0.500 % Smart Shopper</t>
  </si>
  <si>
    <t>MA11</t>
  </si>
  <si>
    <t>KZN DC GROCERIES</t>
  </si>
  <si>
    <t>XG 4.770 % Distribution Allow.</t>
  </si>
  <si>
    <t>XF 6.120 % Advertising Allow.</t>
  </si>
  <si>
    <t>YF 0.630 % Fuel Levy Allowance</t>
  </si>
  <si>
    <t>MA15</t>
  </si>
  <si>
    <t>PNP Eastport Inland DC</t>
  </si>
  <si>
    <t>MA05</t>
  </si>
  <si>
    <t>PNP PHILIPPI DISTRIBUTION CENTRE</t>
  </si>
  <si>
    <t>XG 5.450 % Distribution Allow.</t>
  </si>
  <si>
    <t>YF 0.710 % Fuel Levy Allowance</t>
  </si>
  <si>
    <t>GH35</t>
  </si>
  <si>
    <t>Family The Verge</t>
  </si>
  <si>
    <t>CREDIT_NOTE</t>
  </si>
  <si>
    <t>YE Store Opening &amp; Reva</t>
  </si>
  <si>
    <t>ZSTO GH35</t>
  </si>
  <si>
    <t>FAMILY THE VERGE GH35 STORE OPENING</t>
  </si>
  <si>
    <t>XJ Cash Disc. Merch. Amount Total</t>
  </si>
  <si>
    <t>XJ Cash Disc. Merch. Amount Net</t>
  </si>
  <si>
    <t>XJ Cash Disc. Merch. Amount Vat</t>
  </si>
  <si>
    <t>XC Category Management Amount Total</t>
  </si>
  <si>
    <t>XC Category Management Amount Net</t>
  </si>
  <si>
    <t>XC Category Management Amount Vat</t>
  </si>
  <si>
    <t>XI Incentive Discount Amount Total</t>
  </si>
  <si>
    <t>XI Incentive Discount Amount Net</t>
  </si>
  <si>
    <t>XI Incentive Discount Amount Vat</t>
  </si>
  <si>
    <t>XD Swell Allowance Amount Total</t>
  </si>
  <si>
    <t>XD Swell Allowance Amount Net</t>
  </si>
  <si>
    <t>XD Swell Allowance Amount Vat</t>
  </si>
  <si>
    <t>XF Advertising Allow. Amount Total</t>
  </si>
  <si>
    <t>XF Advertising Allow. Amount Net</t>
  </si>
  <si>
    <t>XF Advertising Allow. Amount Vat</t>
  </si>
  <si>
    <t>X1 Smart Shopper Amount Total</t>
  </si>
  <si>
    <t>X1 Smart Shopper Amount Net</t>
  </si>
  <si>
    <t>X1 Smart Shopper Amount Vat</t>
  </si>
  <si>
    <t>XG Distribution Allow. Amount Total</t>
  </si>
  <si>
    <t>XG Distribution Allow. Amount Net</t>
  </si>
  <si>
    <t>XG Distribution Allow. Amount Vat</t>
  </si>
  <si>
    <t>YF Fuel Levy Allowance Amount Total</t>
  </si>
  <si>
    <t>YF Fuel Levy Allowance Amount Net</t>
  </si>
  <si>
    <t>YF Fuel Levy Allowance Amount Vat</t>
  </si>
  <si>
    <t>inv paid</t>
  </si>
  <si>
    <t>claim</t>
  </si>
  <si>
    <t>discounts</t>
  </si>
  <si>
    <t>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</si>
</sst>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4" fontId="1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11" fontId="0" fillId="0" borderId="0" xfId="0" applyNumberFormat="1"/>
    <xf numFmtId="0" fontId="0" fillId="33" borderId="0" xfId="0" applyFill="1"/>
    <xf numFmtId="164" fontId="0" fillId="0" borderId="0" xfId="42" applyFont="1"/>
    <xf numFmtId="164" fontId="16" fillId="33" borderId="0" xfId="42" applyFont="1" applyFill="1"/>
    <xf numFmtId="0" fontId="16" fillId="0" borderId="0" xfId="0" applyFont="1"/>
    <xf numFmtId="164" fontId="16" fillId="0" borderId="0" xfId="42" applyFont="1"/>
    <xf numFmtId="164" fontId="1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220980</xdr:colOff>
      <xdr:row>2</xdr:row>
      <xdr:rowOff>45720</xdr:rowOff>
    </xdr:from>
    <xdr:to>
      <xdr:col>6</xdr:col>
      <xdr:colOff>102576</xdr:colOff>
      <xdr:row>29</xdr:row>
      <xdr:rowOff>140771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704949-15F5-D7D4-CF40-9509D4AE33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0580" y="411480"/>
          <a:ext cx="3939881" cy="5029636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10</xdr:col>
      <xdr:colOff>658843</xdr:colOff>
      <xdr:row>15</xdr:row>
      <xdr:rowOff>64172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05AF13-AD36-9C49-365F-A5D7CCB6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04460" y="2377440"/>
          <a:ext cx="4016088" cy="426757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10</xdr:col>
      <xdr:colOff>582636</xdr:colOff>
      <xdr:row>32</xdr:row>
      <xdr:rowOff>27561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C91326A-27F4-CAEE-F162-0EC9793E63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04460" y="2926080"/>
          <a:ext cx="3939881" cy="2956816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10</xdr:col>
      <xdr:colOff>675355</xdr:colOff>
      <xdr:row>35</xdr:row>
      <xdr:rowOff>102275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482F2BE-E5E2-CFF3-1317-807D4A850A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204460" y="6035040"/>
          <a:ext cx="4038950" cy="46486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10</xdr:col>
      <xdr:colOff>696946</xdr:colOff>
      <xdr:row>38</xdr:row>
      <xdr:rowOff>50201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C322DDB-E2A3-41AA-BE63-B333D0DD4A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204460" y="6583680"/>
          <a:ext cx="4054191" cy="419136"/>
        </a:xfrm>
        <a:prstGeom prst="rect">
          <a:avLst/>
        </a:prstGeom>
      </xdr:spPr>
    </xdr:pic>
    <xdr:clientData/>
  </xdr:twoCellAnchor>
  <xdr:twoCellAnchor editAs="oneCell">
    <xdr:from>
      <xdr:col>7</xdr:col>
      <xdr:colOff>83820</xdr:colOff>
      <xdr:row>38</xdr:row>
      <xdr:rowOff>99060</xdr:rowOff>
    </xdr:from>
    <xdr:to>
      <xdr:col>10</xdr:col>
      <xdr:colOff>648040</xdr:colOff>
      <xdr:row>54</xdr:row>
      <xdr:rowOff>152658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AB28573-BE06-E1E6-463D-D8ED9FBA8F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288280" y="7048500"/>
          <a:ext cx="3924640" cy="2979678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55</xdr:row>
      <xdr:rowOff>0</xdr:rowOff>
    </xdr:from>
    <xdr:to>
      <xdr:col>10</xdr:col>
      <xdr:colOff>582636</xdr:colOff>
      <xdr:row>71</xdr:row>
      <xdr:rowOff>26291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DCD75F8-4A37-3671-D99A-2DF1B97F5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204460" y="10058400"/>
          <a:ext cx="3939881" cy="2949196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71</xdr:row>
      <xdr:rowOff>57150</xdr:rowOff>
    </xdr:from>
    <xdr:to>
      <xdr:col>10</xdr:col>
      <xdr:colOff>686349</xdr:colOff>
      <xdr:row>73</xdr:row>
      <xdr:rowOff>63555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BFAA88B-38D2-668B-7664-7DCCB6FC4A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143500" y="13582650"/>
          <a:ext cx="3934374" cy="39058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76200</xdr:rowOff>
    </xdr:from>
    <xdr:to>
      <xdr:col>10</xdr:col>
      <xdr:colOff>686349</xdr:colOff>
      <xdr:row>75</xdr:row>
      <xdr:rowOff>114358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6E7F3C2-AC74-1878-00A5-57F891B7FD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143500" y="13982700"/>
          <a:ext cx="3934374" cy="41915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18</xdr:row>
      <xdr:rowOff>0</xdr:rowOff>
    </xdr:from>
    <xdr:to>
      <xdr:col>7</xdr:col>
      <xdr:colOff>64479</xdr:colOff>
      <xdr:row>34</xdr:row>
      <xdr:rowOff>27561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2E5FAB-20A5-0CE3-E1ED-13F3FA0AE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" y="3291840"/>
          <a:ext cx="3970364" cy="29568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BB8B3-3790-4678-A3E9-FABF2A498746}">
  <dimension ref="A1:O162"/>
  <sheetViews>
    <sheetView topLeftCell="A143" workbookViewId="0">
      <selection activeCell="P18" sqref="P18"/>
    </sheetView>
  </sheetViews>
  <sheetFormatPr defaultRowHeight="14.5" x14ac:dyDescent="0.35"/>
  <cols>
    <col min="6" max="6" width="9.26953125" bestFit="1" customWidth="1"/>
    <col min="8" max="8" width="32.7265625" bestFit="1" customWidth="1"/>
    <col min="9" max="9" width="15.1796875" bestFit="1" customWidth="1"/>
    <col min="10" max="10" width="17.7265625" bestFit="1" customWidth="1"/>
    <col min="11" max="11" width="20.81640625" customWidth="1"/>
    <col min="12" max="12" width="12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>
        <v>1</v>
      </c>
      <c r="C2">
        <v>1437398479</v>
      </c>
      <c r="D2">
        <v>1000011572</v>
      </c>
      <c r="F2" s="1">
        <v>45811</v>
      </c>
      <c r="H2" t="s">
        <v>15</v>
      </c>
      <c r="I2">
        <v>1500018972</v>
      </c>
      <c r="N2">
        <v>2494058.27</v>
      </c>
      <c r="O2" t="s">
        <v>16</v>
      </c>
    </row>
    <row r="3" spans="1:15" x14ac:dyDescent="0.35">
      <c r="A3">
        <v>1</v>
      </c>
      <c r="H3" t="s">
        <v>17</v>
      </c>
      <c r="N3">
        <v>2276560.0099999998</v>
      </c>
    </row>
    <row r="4" spans="1:15" x14ac:dyDescent="0.35">
      <c r="A4">
        <v>1</v>
      </c>
      <c r="H4" t="s">
        <v>18</v>
      </c>
      <c r="N4">
        <v>217498.26</v>
      </c>
    </row>
    <row r="5" spans="1:15" x14ac:dyDescent="0.35">
      <c r="A5">
        <v>2</v>
      </c>
      <c r="B5">
        <v>1</v>
      </c>
      <c r="C5" s="2">
        <v>6001010000000</v>
      </c>
      <c r="D5" t="s">
        <v>19</v>
      </c>
      <c r="E5" t="s">
        <v>20</v>
      </c>
      <c r="F5" s="1">
        <v>45761</v>
      </c>
      <c r="G5" t="s">
        <v>21</v>
      </c>
      <c r="H5" t="s">
        <v>22</v>
      </c>
      <c r="I5">
        <v>5137199642</v>
      </c>
      <c r="J5">
        <v>3004368100</v>
      </c>
      <c r="K5">
        <v>5137199642</v>
      </c>
      <c r="L5">
        <v>6262.2</v>
      </c>
      <c r="N5">
        <v>5341.66</v>
      </c>
    </row>
    <row r="6" spans="1:15" x14ac:dyDescent="0.35">
      <c r="A6">
        <v>3</v>
      </c>
      <c r="B6">
        <v>1</v>
      </c>
      <c r="H6" t="s">
        <v>23</v>
      </c>
      <c r="I6">
        <v>2201472482</v>
      </c>
      <c r="M6">
        <v>-187.87</v>
      </c>
    </row>
    <row r="7" spans="1:15" x14ac:dyDescent="0.35">
      <c r="A7">
        <v>3</v>
      </c>
      <c r="B7">
        <v>1</v>
      </c>
      <c r="H7" t="s">
        <v>24</v>
      </c>
      <c r="I7">
        <v>2201477494</v>
      </c>
      <c r="M7">
        <v>-31.31</v>
      </c>
    </row>
    <row r="8" spans="1:15" x14ac:dyDescent="0.35">
      <c r="A8">
        <v>3</v>
      </c>
      <c r="B8">
        <v>1</v>
      </c>
      <c r="H8" t="s">
        <v>25</v>
      </c>
      <c r="I8">
        <v>2201484888</v>
      </c>
      <c r="M8">
        <v>-375.73</v>
      </c>
    </row>
    <row r="9" spans="1:15" x14ac:dyDescent="0.35">
      <c r="A9">
        <v>3</v>
      </c>
      <c r="B9">
        <v>1</v>
      </c>
      <c r="H9" t="s">
        <v>26</v>
      </c>
      <c r="I9">
        <v>2201486890</v>
      </c>
      <c r="M9">
        <v>-31.31</v>
      </c>
    </row>
    <row r="10" spans="1:15" x14ac:dyDescent="0.35">
      <c r="A10">
        <v>3</v>
      </c>
      <c r="B10">
        <v>1</v>
      </c>
      <c r="H10" t="s">
        <v>27</v>
      </c>
      <c r="I10">
        <v>2201495098</v>
      </c>
      <c r="M10">
        <v>-263.01</v>
      </c>
    </row>
    <row r="11" spans="1:15" x14ac:dyDescent="0.35">
      <c r="A11">
        <v>3</v>
      </c>
      <c r="B11">
        <v>1</v>
      </c>
      <c r="H11" t="s">
        <v>28</v>
      </c>
      <c r="I11">
        <v>2201500457</v>
      </c>
      <c r="M11">
        <v>-31.31</v>
      </c>
    </row>
    <row r="12" spans="1:15" x14ac:dyDescent="0.35">
      <c r="A12">
        <v>2</v>
      </c>
      <c r="B12">
        <v>2</v>
      </c>
      <c r="C12" s="2">
        <v>6001010000000</v>
      </c>
      <c r="D12" t="s">
        <v>29</v>
      </c>
      <c r="E12" t="s">
        <v>30</v>
      </c>
      <c r="F12" s="1">
        <v>45748</v>
      </c>
      <c r="G12" t="s">
        <v>21</v>
      </c>
      <c r="H12" t="s">
        <v>22</v>
      </c>
      <c r="I12">
        <v>5136805891</v>
      </c>
      <c r="J12">
        <v>3004352783</v>
      </c>
      <c r="K12">
        <v>5136805891</v>
      </c>
      <c r="L12">
        <v>83389.58</v>
      </c>
      <c r="N12">
        <v>65809.86</v>
      </c>
    </row>
    <row r="13" spans="1:15" x14ac:dyDescent="0.35">
      <c r="A13">
        <v>3</v>
      </c>
      <c r="B13">
        <v>2</v>
      </c>
      <c r="H13" t="s">
        <v>23</v>
      </c>
      <c r="I13">
        <v>2200163789</v>
      </c>
      <c r="M13">
        <v>-2501.73</v>
      </c>
    </row>
    <row r="14" spans="1:15" x14ac:dyDescent="0.35">
      <c r="A14">
        <v>3</v>
      </c>
      <c r="B14">
        <v>2</v>
      </c>
      <c r="H14" t="s">
        <v>24</v>
      </c>
      <c r="I14">
        <v>2200164173</v>
      </c>
      <c r="M14">
        <v>-416.96</v>
      </c>
    </row>
    <row r="15" spans="1:15" x14ac:dyDescent="0.35">
      <c r="A15">
        <v>3</v>
      </c>
      <c r="B15">
        <v>2</v>
      </c>
      <c r="H15" t="s">
        <v>31</v>
      </c>
      <c r="I15">
        <v>2200165251</v>
      </c>
      <c r="M15">
        <v>-3977.71</v>
      </c>
    </row>
    <row r="16" spans="1:15" x14ac:dyDescent="0.35">
      <c r="A16">
        <v>3</v>
      </c>
      <c r="B16">
        <v>2</v>
      </c>
      <c r="H16" t="s">
        <v>25</v>
      </c>
      <c r="I16">
        <v>2200166635</v>
      </c>
      <c r="M16">
        <v>-5003.3599999999997</v>
      </c>
    </row>
    <row r="17" spans="1:14" x14ac:dyDescent="0.35">
      <c r="A17">
        <v>3</v>
      </c>
      <c r="B17">
        <v>2</v>
      </c>
      <c r="H17" t="s">
        <v>26</v>
      </c>
      <c r="I17">
        <v>2200167523</v>
      </c>
      <c r="M17">
        <v>-416.96</v>
      </c>
    </row>
    <row r="18" spans="1:14" x14ac:dyDescent="0.35">
      <c r="A18">
        <v>3</v>
      </c>
      <c r="B18">
        <v>2</v>
      </c>
      <c r="H18" t="s">
        <v>32</v>
      </c>
      <c r="I18">
        <v>2200169491</v>
      </c>
      <c r="M18">
        <v>-4320.68</v>
      </c>
    </row>
    <row r="19" spans="1:14" x14ac:dyDescent="0.35">
      <c r="A19">
        <v>3</v>
      </c>
      <c r="B19">
        <v>2</v>
      </c>
      <c r="H19" t="s">
        <v>28</v>
      </c>
      <c r="I19">
        <v>2200169951</v>
      </c>
      <c r="M19">
        <v>-416.96</v>
      </c>
    </row>
    <row r="20" spans="1:14" x14ac:dyDescent="0.35">
      <c r="A20">
        <v>3</v>
      </c>
      <c r="B20">
        <v>2</v>
      </c>
      <c r="H20" t="s">
        <v>33</v>
      </c>
      <c r="I20">
        <v>2200170087</v>
      </c>
      <c r="M20">
        <v>-525.36</v>
      </c>
    </row>
    <row r="21" spans="1:14" x14ac:dyDescent="0.35">
      <c r="A21">
        <v>2</v>
      </c>
      <c r="B21">
        <v>3</v>
      </c>
      <c r="C21" s="2">
        <v>6001010000000</v>
      </c>
      <c r="D21" t="s">
        <v>34</v>
      </c>
      <c r="E21" t="s">
        <v>35</v>
      </c>
      <c r="F21" s="1">
        <v>45749</v>
      </c>
      <c r="G21" t="s">
        <v>21</v>
      </c>
      <c r="H21" t="s">
        <v>22</v>
      </c>
      <c r="I21">
        <v>5136852786</v>
      </c>
      <c r="J21">
        <v>3004363053</v>
      </c>
      <c r="K21">
        <v>5136852786</v>
      </c>
      <c r="L21">
        <v>336619.35</v>
      </c>
      <c r="N21">
        <v>266065.67</v>
      </c>
    </row>
    <row r="22" spans="1:14" x14ac:dyDescent="0.35">
      <c r="A22">
        <v>3</v>
      </c>
      <c r="B22">
        <v>3</v>
      </c>
      <c r="H22" t="s">
        <v>23</v>
      </c>
      <c r="I22">
        <v>2200171134</v>
      </c>
      <c r="M22">
        <v>-10098.61</v>
      </c>
    </row>
    <row r="23" spans="1:14" x14ac:dyDescent="0.35">
      <c r="A23">
        <v>3</v>
      </c>
      <c r="B23">
        <v>3</v>
      </c>
      <c r="H23" t="s">
        <v>24</v>
      </c>
      <c r="I23">
        <v>2200171583</v>
      </c>
      <c r="M23">
        <v>-1683.12</v>
      </c>
    </row>
    <row r="24" spans="1:14" x14ac:dyDescent="0.35">
      <c r="A24">
        <v>3</v>
      </c>
      <c r="B24">
        <v>3</v>
      </c>
      <c r="H24" t="s">
        <v>31</v>
      </c>
      <c r="I24">
        <v>2200172735</v>
      </c>
      <c r="M24">
        <v>-16056.72</v>
      </c>
    </row>
    <row r="25" spans="1:14" x14ac:dyDescent="0.35">
      <c r="A25">
        <v>3</v>
      </c>
      <c r="B25">
        <v>3</v>
      </c>
      <c r="H25" t="s">
        <v>25</v>
      </c>
      <c r="I25">
        <v>2200174221</v>
      </c>
      <c r="M25">
        <v>-20197.150000000001</v>
      </c>
    </row>
    <row r="26" spans="1:14" x14ac:dyDescent="0.35">
      <c r="A26">
        <v>3</v>
      </c>
      <c r="B26">
        <v>3</v>
      </c>
      <c r="H26" t="s">
        <v>26</v>
      </c>
      <c r="I26">
        <v>2200175250</v>
      </c>
      <c r="M26">
        <v>-1683.12</v>
      </c>
    </row>
    <row r="27" spans="1:14" x14ac:dyDescent="0.35">
      <c r="A27">
        <v>3</v>
      </c>
      <c r="B27">
        <v>3</v>
      </c>
      <c r="H27" t="s">
        <v>32</v>
      </c>
      <c r="I27">
        <v>2200177293</v>
      </c>
      <c r="M27">
        <v>-17031.150000000001</v>
      </c>
    </row>
    <row r="28" spans="1:14" x14ac:dyDescent="0.35">
      <c r="A28">
        <v>3</v>
      </c>
      <c r="B28">
        <v>3</v>
      </c>
      <c r="H28" t="s">
        <v>28</v>
      </c>
      <c r="I28">
        <v>2200177835</v>
      </c>
      <c r="M28">
        <v>-1683.12</v>
      </c>
    </row>
    <row r="29" spans="1:14" x14ac:dyDescent="0.35">
      <c r="A29">
        <v>3</v>
      </c>
      <c r="B29">
        <v>3</v>
      </c>
      <c r="H29" t="s">
        <v>33</v>
      </c>
      <c r="I29">
        <v>2200178017</v>
      </c>
      <c r="M29">
        <v>-2120.69</v>
      </c>
    </row>
    <row r="30" spans="1:14" x14ac:dyDescent="0.35">
      <c r="A30">
        <v>2</v>
      </c>
      <c r="B30">
        <v>4</v>
      </c>
      <c r="C30" s="2">
        <v>6001010000000</v>
      </c>
      <c r="D30" t="s">
        <v>36</v>
      </c>
      <c r="E30" t="s">
        <v>37</v>
      </c>
      <c r="F30" s="1">
        <v>45751</v>
      </c>
      <c r="G30" t="s">
        <v>21</v>
      </c>
      <c r="H30" t="s">
        <v>22</v>
      </c>
      <c r="I30">
        <v>5136927542</v>
      </c>
      <c r="J30">
        <v>3004366497</v>
      </c>
      <c r="K30">
        <v>5136927542</v>
      </c>
      <c r="L30">
        <v>253702.71</v>
      </c>
      <c r="N30">
        <v>197678.51</v>
      </c>
    </row>
    <row r="31" spans="1:14" x14ac:dyDescent="0.35">
      <c r="A31">
        <v>3</v>
      </c>
      <c r="B31">
        <v>4</v>
      </c>
      <c r="H31" t="s">
        <v>23</v>
      </c>
      <c r="I31">
        <v>2200185408</v>
      </c>
      <c r="M31">
        <v>-7611.11</v>
      </c>
    </row>
    <row r="32" spans="1:14" x14ac:dyDescent="0.35">
      <c r="A32">
        <v>3</v>
      </c>
      <c r="B32">
        <v>4</v>
      </c>
      <c r="H32" t="s">
        <v>24</v>
      </c>
      <c r="I32">
        <v>2200185704</v>
      </c>
      <c r="M32">
        <v>-1268.55</v>
      </c>
    </row>
    <row r="33" spans="1:14" x14ac:dyDescent="0.35">
      <c r="A33">
        <v>3</v>
      </c>
      <c r="B33">
        <v>4</v>
      </c>
      <c r="H33" t="s">
        <v>38</v>
      </c>
      <c r="I33">
        <v>2200186424</v>
      </c>
      <c r="M33">
        <v>-13826.83</v>
      </c>
    </row>
    <row r="34" spans="1:14" x14ac:dyDescent="0.35">
      <c r="A34">
        <v>3</v>
      </c>
      <c r="B34">
        <v>4</v>
      </c>
      <c r="H34" t="s">
        <v>25</v>
      </c>
      <c r="I34">
        <v>2200187282</v>
      </c>
      <c r="M34">
        <v>-15222.15</v>
      </c>
    </row>
    <row r="35" spans="1:14" x14ac:dyDescent="0.35">
      <c r="A35">
        <v>3</v>
      </c>
      <c r="B35">
        <v>4</v>
      </c>
      <c r="H35" t="s">
        <v>26</v>
      </c>
      <c r="I35">
        <v>2200187851</v>
      </c>
      <c r="M35">
        <v>-1268.55</v>
      </c>
    </row>
    <row r="36" spans="1:14" x14ac:dyDescent="0.35">
      <c r="A36">
        <v>3</v>
      </c>
      <c r="B36">
        <v>4</v>
      </c>
      <c r="H36" t="s">
        <v>32</v>
      </c>
      <c r="I36">
        <v>2200189007</v>
      </c>
      <c r="M36">
        <v>-13757.16</v>
      </c>
    </row>
    <row r="37" spans="1:14" x14ac:dyDescent="0.35">
      <c r="A37">
        <v>3</v>
      </c>
      <c r="B37">
        <v>4</v>
      </c>
      <c r="H37" t="s">
        <v>28</v>
      </c>
      <c r="I37">
        <v>2200189367</v>
      </c>
      <c r="M37">
        <v>-1268.55</v>
      </c>
    </row>
    <row r="38" spans="1:14" x14ac:dyDescent="0.35">
      <c r="A38">
        <v>3</v>
      </c>
      <c r="B38">
        <v>4</v>
      </c>
      <c r="H38" t="s">
        <v>39</v>
      </c>
      <c r="I38">
        <v>2200189470</v>
      </c>
      <c r="M38">
        <v>-1801.3</v>
      </c>
    </row>
    <row r="39" spans="1:14" x14ac:dyDescent="0.35">
      <c r="A39">
        <v>2</v>
      </c>
      <c r="B39">
        <v>5</v>
      </c>
      <c r="C39" s="2">
        <v>6001010000000</v>
      </c>
      <c r="D39" t="s">
        <v>29</v>
      </c>
      <c r="E39" t="s">
        <v>30</v>
      </c>
      <c r="F39" s="1">
        <v>45755</v>
      </c>
      <c r="G39" t="s">
        <v>21</v>
      </c>
      <c r="H39" t="s">
        <v>22</v>
      </c>
      <c r="I39">
        <v>5137018142</v>
      </c>
      <c r="J39">
        <v>3004366226</v>
      </c>
      <c r="K39">
        <v>5137018142</v>
      </c>
      <c r="L39">
        <v>136639.23000000001</v>
      </c>
      <c r="N39">
        <v>108295.71</v>
      </c>
    </row>
    <row r="40" spans="1:14" x14ac:dyDescent="0.35">
      <c r="A40">
        <v>3</v>
      </c>
      <c r="B40">
        <v>5</v>
      </c>
      <c r="H40" t="s">
        <v>23</v>
      </c>
      <c r="I40">
        <v>2200205475</v>
      </c>
      <c r="M40">
        <v>-4099.24</v>
      </c>
    </row>
    <row r="41" spans="1:14" x14ac:dyDescent="0.35">
      <c r="A41">
        <v>3</v>
      </c>
      <c r="B41">
        <v>5</v>
      </c>
      <c r="H41" t="s">
        <v>24</v>
      </c>
      <c r="I41">
        <v>2200205840</v>
      </c>
      <c r="M41">
        <v>-683.2</v>
      </c>
    </row>
    <row r="42" spans="1:14" x14ac:dyDescent="0.35">
      <c r="A42">
        <v>3</v>
      </c>
      <c r="B42">
        <v>5</v>
      </c>
      <c r="H42" t="s">
        <v>31</v>
      </c>
      <c r="I42">
        <v>2200206813</v>
      </c>
      <c r="M42">
        <v>-6517.73</v>
      </c>
    </row>
    <row r="43" spans="1:14" x14ac:dyDescent="0.35">
      <c r="A43">
        <v>3</v>
      </c>
      <c r="B43">
        <v>5</v>
      </c>
      <c r="H43" t="s">
        <v>25</v>
      </c>
      <c r="I43">
        <v>2200207994</v>
      </c>
      <c r="M43">
        <v>-8198.34</v>
      </c>
    </row>
    <row r="44" spans="1:14" x14ac:dyDescent="0.35">
      <c r="A44">
        <v>3</v>
      </c>
      <c r="B44">
        <v>5</v>
      </c>
      <c r="H44" t="s">
        <v>26</v>
      </c>
      <c r="I44">
        <v>2200208660</v>
      </c>
      <c r="M44">
        <v>-683.2</v>
      </c>
    </row>
    <row r="45" spans="1:14" x14ac:dyDescent="0.35">
      <c r="A45">
        <v>3</v>
      </c>
      <c r="B45">
        <v>5</v>
      </c>
      <c r="H45" t="s">
        <v>32</v>
      </c>
      <c r="I45">
        <v>2200210271</v>
      </c>
      <c r="M45">
        <v>-6617.78</v>
      </c>
    </row>
    <row r="46" spans="1:14" x14ac:dyDescent="0.35">
      <c r="A46">
        <v>3</v>
      </c>
      <c r="B46">
        <v>5</v>
      </c>
      <c r="H46" t="s">
        <v>28</v>
      </c>
      <c r="I46">
        <v>2200210604</v>
      </c>
      <c r="M46">
        <v>-683.2</v>
      </c>
    </row>
    <row r="47" spans="1:14" x14ac:dyDescent="0.35">
      <c r="A47">
        <v>3</v>
      </c>
      <c r="B47">
        <v>5</v>
      </c>
      <c r="H47" t="s">
        <v>33</v>
      </c>
      <c r="I47">
        <v>2200210738</v>
      </c>
      <c r="M47">
        <v>-860.83</v>
      </c>
    </row>
    <row r="48" spans="1:14" x14ac:dyDescent="0.35">
      <c r="A48">
        <v>2</v>
      </c>
      <c r="B48">
        <v>6</v>
      </c>
      <c r="C48" s="2">
        <v>6001010000000</v>
      </c>
      <c r="D48" t="s">
        <v>36</v>
      </c>
      <c r="E48" t="s">
        <v>37</v>
      </c>
      <c r="F48" s="1">
        <v>45758</v>
      </c>
      <c r="G48" t="s">
        <v>21</v>
      </c>
      <c r="H48" t="s">
        <v>22</v>
      </c>
      <c r="I48">
        <v>5137139067</v>
      </c>
      <c r="J48">
        <v>3004373976</v>
      </c>
      <c r="K48">
        <v>5137139067</v>
      </c>
      <c r="L48">
        <v>244953.39</v>
      </c>
      <c r="N48">
        <v>190847.92</v>
      </c>
    </row>
    <row r="49" spans="1:14" x14ac:dyDescent="0.35">
      <c r="A49">
        <v>3</v>
      </c>
      <c r="B49">
        <v>6</v>
      </c>
      <c r="H49" t="s">
        <v>23</v>
      </c>
      <c r="I49">
        <v>2200228210</v>
      </c>
      <c r="M49">
        <v>-7348.66</v>
      </c>
    </row>
    <row r="50" spans="1:14" x14ac:dyDescent="0.35">
      <c r="A50">
        <v>3</v>
      </c>
      <c r="B50">
        <v>6</v>
      </c>
      <c r="H50" t="s">
        <v>24</v>
      </c>
      <c r="I50">
        <v>2200228513</v>
      </c>
      <c r="M50">
        <v>-1224.81</v>
      </c>
    </row>
    <row r="51" spans="1:14" x14ac:dyDescent="0.35">
      <c r="A51">
        <v>3</v>
      </c>
      <c r="B51">
        <v>6</v>
      </c>
      <c r="H51" t="s">
        <v>38</v>
      </c>
      <c r="I51">
        <v>2200229129</v>
      </c>
      <c r="M51">
        <v>-13350.01</v>
      </c>
    </row>
    <row r="52" spans="1:14" x14ac:dyDescent="0.35">
      <c r="A52">
        <v>3</v>
      </c>
      <c r="B52">
        <v>6</v>
      </c>
      <c r="H52" t="s">
        <v>25</v>
      </c>
      <c r="I52">
        <v>2200229896</v>
      </c>
      <c r="M52">
        <v>-14697.21</v>
      </c>
    </row>
    <row r="53" spans="1:14" x14ac:dyDescent="0.35">
      <c r="A53">
        <v>3</v>
      </c>
      <c r="B53">
        <v>6</v>
      </c>
      <c r="H53" t="s">
        <v>26</v>
      </c>
      <c r="I53">
        <v>2200230425</v>
      </c>
      <c r="M53">
        <v>-1224.81</v>
      </c>
    </row>
    <row r="54" spans="1:14" x14ac:dyDescent="0.35">
      <c r="A54">
        <v>3</v>
      </c>
      <c r="B54">
        <v>6</v>
      </c>
      <c r="H54" t="s">
        <v>32</v>
      </c>
      <c r="I54">
        <v>2200231479</v>
      </c>
      <c r="M54">
        <v>-13296.01</v>
      </c>
    </row>
    <row r="55" spans="1:14" x14ac:dyDescent="0.35">
      <c r="A55">
        <v>3</v>
      </c>
      <c r="B55">
        <v>6</v>
      </c>
      <c r="H55" t="s">
        <v>28</v>
      </c>
      <c r="I55">
        <v>2200231797</v>
      </c>
      <c r="M55">
        <v>-1224.81</v>
      </c>
    </row>
    <row r="56" spans="1:14" x14ac:dyDescent="0.35">
      <c r="A56">
        <v>3</v>
      </c>
      <c r="B56">
        <v>6</v>
      </c>
      <c r="H56" t="s">
        <v>39</v>
      </c>
      <c r="I56">
        <v>2200231894</v>
      </c>
      <c r="M56">
        <v>-1739.15</v>
      </c>
    </row>
    <row r="57" spans="1:14" x14ac:dyDescent="0.35">
      <c r="A57">
        <v>2</v>
      </c>
      <c r="B57">
        <v>7</v>
      </c>
      <c r="C57" s="2">
        <v>6001010000000</v>
      </c>
      <c r="D57" t="s">
        <v>34</v>
      </c>
      <c r="E57" t="s">
        <v>35</v>
      </c>
      <c r="F57" s="1">
        <v>45761</v>
      </c>
      <c r="G57" t="s">
        <v>21</v>
      </c>
      <c r="H57" t="s">
        <v>22</v>
      </c>
      <c r="I57">
        <v>5137204881</v>
      </c>
      <c r="J57">
        <v>3004378693</v>
      </c>
      <c r="K57">
        <v>5137204881</v>
      </c>
      <c r="L57">
        <v>304185.55</v>
      </c>
      <c r="N57">
        <v>239761.82</v>
      </c>
    </row>
    <row r="58" spans="1:14" x14ac:dyDescent="0.35">
      <c r="A58">
        <v>3</v>
      </c>
      <c r="B58">
        <v>7</v>
      </c>
      <c r="H58" t="s">
        <v>23</v>
      </c>
      <c r="I58">
        <v>2200241129</v>
      </c>
      <c r="M58">
        <v>-9125.6299999999992</v>
      </c>
    </row>
    <row r="59" spans="1:14" x14ac:dyDescent="0.35">
      <c r="A59">
        <v>3</v>
      </c>
      <c r="B59">
        <v>7</v>
      </c>
      <c r="H59" t="s">
        <v>24</v>
      </c>
      <c r="I59">
        <v>2200241483</v>
      </c>
      <c r="M59">
        <v>-1520.95</v>
      </c>
    </row>
    <row r="60" spans="1:14" x14ac:dyDescent="0.35">
      <c r="A60">
        <v>3</v>
      </c>
      <c r="B60">
        <v>7</v>
      </c>
      <c r="H60" t="s">
        <v>31</v>
      </c>
      <c r="I60">
        <v>2200242624</v>
      </c>
      <c r="M60">
        <v>-14509.65</v>
      </c>
    </row>
    <row r="61" spans="1:14" x14ac:dyDescent="0.35">
      <c r="A61">
        <v>3</v>
      </c>
      <c r="B61">
        <v>7</v>
      </c>
      <c r="H61" t="s">
        <v>25</v>
      </c>
      <c r="I61">
        <v>2200244051</v>
      </c>
      <c r="M61">
        <v>-18251.14</v>
      </c>
    </row>
    <row r="62" spans="1:14" x14ac:dyDescent="0.35">
      <c r="A62">
        <v>3</v>
      </c>
      <c r="B62">
        <v>7</v>
      </c>
      <c r="H62" t="s">
        <v>26</v>
      </c>
      <c r="I62">
        <v>2200244964</v>
      </c>
      <c r="M62">
        <v>-1520.95</v>
      </c>
    </row>
    <row r="63" spans="1:14" x14ac:dyDescent="0.35">
      <c r="A63">
        <v>3</v>
      </c>
      <c r="B63">
        <v>7</v>
      </c>
      <c r="H63" t="s">
        <v>32</v>
      </c>
      <c r="I63">
        <v>2200247117</v>
      </c>
      <c r="M63">
        <v>-16058.11</v>
      </c>
    </row>
    <row r="64" spans="1:14" x14ac:dyDescent="0.35">
      <c r="A64">
        <v>3</v>
      </c>
      <c r="B64">
        <v>7</v>
      </c>
      <c r="H64" t="s">
        <v>28</v>
      </c>
      <c r="I64">
        <v>2200247650</v>
      </c>
      <c r="M64">
        <v>-1520.95</v>
      </c>
    </row>
    <row r="65" spans="1:14" x14ac:dyDescent="0.35">
      <c r="A65">
        <v>3</v>
      </c>
      <c r="B65">
        <v>7</v>
      </c>
      <c r="H65" t="s">
        <v>33</v>
      </c>
      <c r="I65">
        <v>2200247780</v>
      </c>
      <c r="M65">
        <v>-1916.35</v>
      </c>
    </row>
    <row r="66" spans="1:14" x14ac:dyDescent="0.35">
      <c r="A66">
        <v>2</v>
      </c>
      <c r="B66">
        <v>8</v>
      </c>
      <c r="C66" s="2">
        <v>6001010000000</v>
      </c>
      <c r="D66" t="s">
        <v>34</v>
      </c>
      <c r="E66" t="s">
        <v>35</v>
      </c>
      <c r="F66" s="1">
        <v>45764</v>
      </c>
      <c r="G66" t="s">
        <v>21</v>
      </c>
      <c r="H66" t="s">
        <v>22</v>
      </c>
      <c r="I66">
        <v>5137326510</v>
      </c>
      <c r="J66">
        <v>3004387638</v>
      </c>
      <c r="K66">
        <v>5137326510</v>
      </c>
      <c r="L66">
        <v>523477.78</v>
      </c>
      <c r="N66">
        <v>413161.93</v>
      </c>
    </row>
    <row r="67" spans="1:14" x14ac:dyDescent="0.35">
      <c r="A67">
        <v>3</v>
      </c>
      <c r="B67">
        <v>8</v>
      </c>
      <c r="H67" t="s">
        <v>23</v>
      </c>
      <c r="I67">
        <v>2200262809</v>
      </c>
      <c r="M67">
        <v>-15704.39</v>
      </c>
    </row>
    <row r="68" spans="1:14" x14ac:dyDescent="0.35">
      <c r="A68">
        <v>3</v>
      </c>
      <c r="B68">
        <v>8</v>
      </c>
      <c r="H68" t="s">
        <v>24</v>
      </c>
      <c r="I68">
        <v>2200263196</v>
      </c>
      <c r="M68">
        <v>-2617.41</v>
      </c>
    </row>
    <row r="69" spans="1:14" x14ac:dyDescent="0.35">
      <c r="A69">
        <v>3</v>
      </c>
      <c r="B69">
        <v>8</v>
      </c>
      <c r="H69" t="s">
        <v>31</v>
      </c>
      <c r="I69">
        <v>2200263984</v>
      </c>
      <c r="M69">
        <v>-24969.89</v>
      </c>
    </row>
    <row r="70" spans="1:14" x14ac:dyDescent="0.35">
      <c r="A70">
        <v>3</v>
      </c>
      <c r="B70">
        <v>8</v>
      </c>
      <c r="H70" t="s">
        <v>25</v>
      </c>
      <c r="I70">
        <v>2200264952</v>
      </c>
      <c r="M70">
        <v>-31408.66</v>
      </c>
    </row>
    <row r="71" spans="1:14" x14ac:dyDescent="0.35">
      <c r="A71">
        <v>3</v>
      </c>
      <c r="B71">
        <v>8</v>
      </c>
      <c r="H71" t="s">
        <v>26</v>
      </c>
      <c r="I71">
        <v>2200265620</v>
      </c>
      <c r="M71">
        <v>-2617.41</v>
      </c>
    </row>
    <row r="72" spans="1:14" x14ac:dyDescent="0.35">
      <c r="A72">
        <v>3</v>
      </c>
      <c r="B72">
        <v>8</v>
      </c>
      <c r="H72" t="s">
        <v>32</v>
      </c>
      <c r="I72">
        <v>2200266875</v>
      </c>
      <c r="M72">
        <v>-27082.79</v>
      </c>
    </row>
    <row r="73" spans="1:14" x14ac:dyDescent="0.35">
      <c r="A73">
        <v>3</v>
      </c>
      <c r="B73">
        <v>8</v>
      </c>
      <c r="H73" t="s">
        <v>28</v>
      </c>
      <c r="I73">
        <v>2200267261</v>
      </c>
      <c r="M73">
        <v>-2617.41</v>
      </c>
    </row>
    <row r="74" spans="1:14" x14ac:dyDescent="0.35">
      <c r="A74">
        <v>3</v>
      </c>
      <c r="B74">
        <v>8</v>
      </c>
      <c r="H74" t="s">
        <v>33</v>
      </c>
      <c r="I74">
        <v>2200267364</v>
      </c>
      <c r="M74">
        <v>-3297.89</v>
      </c>
    </row>
    <row r="75" spans="1:14" x14ac:dyDescent="0.35">
      <c r="A75">
        <v>2</v>
      </c>
      <c r="B75">
        <v>9</v>
      </c>
      <c r="C75" s="2">
        <v>6001010000000</v>
      </c>
      <c r="D75" t="s">
        <v>29</v>
      </c>
      <c r="E75" t="s">
        <v>30</v>
      </c>
      <c r="F75" s="1">
        <v>45766</v>
      </c>
      <c r="G75" t="s">
        <v>21</v>
      </c>
      <c r="H75" t="s">
        <v>22</v>
      </c>
      <c r="I75">
        <v>5137353292</v>
      </c>
      <c r="J75">
        <v>3004381497</v>
      </c>
      <c r="K75">
        <v>5137353292</v>
      </c>
      <c r="L75">
        <v>45089.66</v>
      </c>
      <c r="N75">
        <v>35582.080000000002</v>
      </c>
    </row>
    <row r="76" spans="1:14" x14ac:dyDescent="0.35">
      <c r="A76">
        <v>3</v>
      </c>
      <c r="B76">
        <v>9</v>
      </c>
      <c r="H76" t="s">
        <v>23</v>
      </c>
      <c r="I76">
        <v>2200270636</v>
      </c>
      <c r="M76">
        <v>-1352.73</v>
      </c>
    </row>
    <row r="77" spans="1:14" x14ac:dyDescent="0.35">
      <c r="A77">
        <v>3</v>
      </c>
      <c r="B77">
        <v>9</v>
      </c>
      <c r="H77" t="s">
        <v>24</v>
      </c>
      <c r="I77">
        <v>2200270852</v>
      </c>
      <c r="M77">
        <v>-225.46</v>
      </c>
    </row>
    <row r="78" spans="1:14" x14ac:dyDescent="0.35">
      <c r="A78">
        <v>3</v>
      </c>
      <c r="B78">
        <v>9</v>
      </c>
      <c r="H78" t="s">
        <v>31</v>
      </c>
      <c r="I78">
        <v>2200271365</v>
      </c>
      <c r="M78">
        <v>-2150.7600000000002</v>
      </c>
    </row>
    <row r="79" spans="1:14" x14ac:dyDescent="0.35">
      <c r="A79">
        <v>3</v>
      </c>
      <c r="B79">
        <v>9</v>
      </c>
      <c r="H79" t="s">
        <v>25</v>
      </c>
      <c r="I79">
        <v>2200271997</v>
      </c>
      <c r="M79">
        <v>-2705.37</v>
      </c>
    </row>
    <row r="80" spans="1:14" x14ac:dyDescent="0.35">
      <c r="A80">
        <v>3</v>
      </c>
      <c r="B80">
        <v>9</v>
      </c>
      <c r="H80" t="s">
        <v>26</v>
      </c>
      <c r="I80">
        <v>2200272410</v>
      </c>
      <c r="M80">
        <v>-225.46</v>
      </c>
    </row>
    <row r="81" spans="1:14" x14ac:dyDescent="0.35">
      <c r="A81">
        <v>3</v>
      </c>
      <c r="B81">
        <v>9</v>
      </c>
      <c r="H81" t="s">
        <v>32</v>
      </c>
      <c r="I81">
        <v>2200273262</v>
      </c>
      <c r="M81">
        <v>-2338.2800000000002</v>
      </c>
    </row>
    <row r="82" spans="1:14" x14ac:dyDescent="0.35">
      <c r="A82">
        <v>3</v>
      </c>
      <c r="B82">
        <v>9</v>
      </c>
      <c r="H82" t="s">
        <v>28</v>
      </c>
      <c r="I82">
        <v>2200273492</v>
      </c>
      <c r="M82">
        <v>-225.46</v>
      </c>
    </row>
    <row r="83" spans="1:14" x14ac:dyDescent="0.35">
      <c r="A83">
        <v>3</v>
      </c>
      <c r="B83">
        <v>9</v>
      </c>
      <c r="H83" t="s">
        <v>33</v>
      </c>
      <c r="I83">
        <v>2200273542</v>
      </c>
      <c r="M83">
        <v>-284.06</v>
      </c>
    </row>
    <row r="84" spans="1:14" x14ac:dyDescent="0.35">
      <c r="A84">
        <v>2</v>
      </c>
      <c r="B84">
        <v>10</v>
      </c>
      <c r="C84" s="2">
        <v>6001010000000</v>
      </c>
      <c r="D84" t="s">
        <v>29</v>
      </c>
      <c r="E84" t="s">
        <v>30</v>
      </c>
      <c r="F84" s="1">
        <v>45766</v>
      </c>
      <c r="G84" t="s">
        <v>21</v>
      </c>
      <c r="H84" t="s">
        <v>22</v>
      </c>
      <c r="I84">
        <v>5137353432</v>
      </c>
      <c r="J84">
        <v>3004384777</v>
      </c>
      <c r="K84">
        <v>5137353432</v>
      </c>
      <c r="L84">
        <v>68985.490000000005</v>
      </c>
      <c r="N84">
        <v>54289.11</v>
      </c>
    </row>
    <row r="85" spans="1:14" x14ac:dyDescent="0.35">
      <c r="A85">
        <v>3</v>
      </c>
      <c r="B85">
        <v>10</v>
      </c>
      <c r="H85" t="s">
        <v>23</v>
      </c>
      <c r="I85">
        <v>2200270637</v>
      </c>
      <c r="M85">
        <v>-2069.61</v>
      </c>
    </row>
    <row r="86" spans="1:14" x14ac:dyDescent="0.35">
      <c r="A86">
        <v>3</v>
      </c>
      <c r="B86">
        <v>10</v>
      </c>
      <c r="H86" t="s">
        <v>24</v>
      </c>
      <c r="I86">
        <v>2200270853</v>
      </c>
      <c r="M86">
        <v>-344.93</v>
      </c>
    </row>
    <row r="87" spans="1:14" x14ac:dyDescent="0.35">
      <c r="A87">
        <v>3</v>
      </c>
      <c r="B87">
        <v>10</v>
      </c>
      <c r="H87" t="s">
        <v>31</v>
      </c>
      <c r="I87">
        <v>2200271366</v>
      </c>
      <c r="M87">
        <v>-3290.6</v>
      </c>
    </row>
    <row r="88" spans="1:14" x14ac:dyDescent="0.35">
      <c r="A88">
        <v>3</v>
      </c>
      <c r="B88">
        <v>10</v>
      </c>
      <c r="H88" t="s">
        <v>25</v>
      </c>
      <c r="I88">
        <v>2200271998</v>
      </c>
      <c r="M88">
        <v>-4139.1400000000003</v>
      </c>
    </row>
    <row r="89" spans="1:14" x14ac:dyDescent="0.35">
      <c r="A89">
        <v>3</v>
      </c>
      <c r="B89">
        <v>10</v>
      </c>
      <c r="H89" t="s">
        <v>26</v>
      </c>
      <c r="I89">
        <v>2200272411</v>
      </c>
      <c r="M89">
        <v>-344.93</v>
      </c>
    </row>
    <row r="90" spans="1:14" x14ac:dyDescent="0.35">
      <c r="A90">
        <v>3</v>
      </c>
      <c r="B90">
        <v>10</v>
      </c>
      <c r="H90" t="s">
        <v>32</v>
      </c>
      <c r="I90">
        <v>2200273263</v>
      </c>
      <c r="M90">
        <v>-3727.65</v>
      </c>
    </row>
    <row r="91" spans="1:14" x14ac:dyDescent="0.35">
      <c r="A91">
        <v>3</v>
      </c>
      <c r="B91">
        <v>10</v>
      </c>
      <c r="H91" t="s">
        <v>28</v>
      </c>
      <c r="I91">
        <v>2200273493</v>
      </c>
      <c r="M91">
        <v>-344.93</v>
      </c>
    </row>
    <row r="92" spans="1:14" x14ac:dyDescent="0.35">
      <c r="A92">
        <v>3</v>
      </c>
      <c r="B92">
        <v>10</v>
      </c>
      <c r="H92" t="s">
        <v>33</v>
      </c>
      <c r="I92">
        <v>2200273543</v>
      </c>
      <c r="M92">
        <v>-434.59</v>
      </c>
    </row>
    <row r="93" spans="1:14" x14ac:dyDescent="0.35">
      <c r="A93">
        <v>2</v>
      </c>
      <c r="B93">
        <v>11</v>
      </c>
      <c r="C93" s="2">
        <v>6001010000000</v>
      </c>
      <c r="D93" t="s">
        <v>34</v>
      </c>
      <c r="E93" t="s">
        <v>35</v>
      </c>
      <c r="F93" s="1">
        <v>45769</v>
      </c>
      <c r="G93" t="s">
        <v>21</v>
      </c>
      <c r="H93" t="s">
        <v>22</v>
      </c>
      <c r="I93">
        <v>5137413242</v>
      </c>
      <c r="J93">
        <v>3004390910</v>
      </c>
      <c r="K93">
        <v>5137413242</v>
      </c>
      <c r="L93">
        <v>332548.94</v>
      </c>
      <c r="N93">
        <v>261361.14</v>
      </c>
    </row>
    <row r="94" spans="1:14" x14ac:dyDescent="0.35">
      <c r="A94">
        <v>3</v>
      </c>
      <c r="B94">
        <v>11</v>
      </c>
      <c r="H94" t="s">
        <v>23</v>
      </c>
      <c r="I94">
        <v>2200283719</v>
      </c>
      <c r="M94">
        <v>-9976.5</v>
      </c>
    </row>
    <row r="95" spans="1:14" x14ac:dyDescent="0.35">
      <c r="A95">
        <v>3</v>
      </c>
      <c r="B95">
        <v>11</v>
      </c>
      <c r="H95" t="s">
        <v>24</v>
      </c>
      <c r="I95">
        <v>2200284282</v>
      </c>
      <c r="M95">
        <v>-1662.78</v>
      </c>
    </row>
    <row r="96" spans="1:14" x14ac:dyDescent="0.35">
      <c r="A96">
        <v>3</v>
      </c>
      <c r="B96">
        <v>11</v>
      </c>
      <c r="H96" t="s">
        <v>31</v>
      </c>
      <c r="I96">
        <v>2200285949</v>
      </c>
      <c r="M96">
        <v>-15862.58</v>
      </c>
    </row>
    <row r="97" spans="1:14" x14ac:dyDescent="0.35">
      <c r="A97">
        <v>3</v>
      </c>
      <c r="B97">
        <v>11</v>
      </c>
      <c r="H97" t="s">
        <v>25</v>
      </c>
      <c r="I97">
        <v>2200288107</v>
      </c>
      <c r="M97">
        <v>-19952.919999999998</v>
      </c>
    </row>
    <row r="98" spans="1:14" x14ac:dyDescent="0.35">
      <c r="A98">
        <v>3</v>
      </c>
      <c r="B98">
        <v>11</v>
      </c>
      <c r="H98" t="s">
        <v>26</v>
      </c>
      <c r="I98">
        <v>2200289375</v>
      </c>
      <c r="M98">
        <v>-1662.78</v>
      </c>
    </row>
    <row r="99" spans="1:14" x14ac:dyDescent="0.35">
      <c r="A99">
        <v>3</v>
      </c>
      <c r="B99">
        <v>11</v>
      </c>
      <c r="H99" t="s">
        <v>32</v>
      </c>
      <c r="I99">
        <v>2200292327</v>
      </c>
      <c r="M99">
        <v>-18312.43</v>
      </c>
    </row>
    <row r="100" spans="1:14" x14ac:dyDescent="0.35">
      <c r="A100">
        <v>3</v>
      </c>
      <c r="B100">
        <v>11</v>
      </c>
      <c r="H100" t="s">
        <v>28</v>
      </c>
      <c r="I100">
        <v>2200292981</v>
      </c>
      <c r="M100">
        <v>-1662.78</v>
      </c>
    </row>
    <row r="101" spans="1:14" x14ac:dyDescent="0.35">
      <c r="A101">
        <v>3</v>
      </c>
      <c r="B101">
        <v>11</v>
      </c>
      <c r="H101" t="s">
        <v>33</v>
      </c>
      <c r="I101">
        <v>2200293186</v>
      </c>
      <c r="M101">
        <v>-2095.0300000000002</v>
      </c>
    </row>
    <row r="102" spans="1:14" x14ac:dyDescent="0.35">
      <c r="A102">
        <v>2</v>
      </c>
      <c r="B102">
        <v>12</v>
      </c>
      <c r="C102" s="2">
        <v>6001010000000</v>
      </c>
      <c r="D102" t="s">
        <v>36</v>
      </c>
      <c r="E102" t="s">
        <v>37</v>
      </c>
      <c r="F102" s="1">
        <v>45769</v>
      </c>
      <c r="G102" t="s">
        <v>21</v>
      </c>
      <c r="H102" t="s">
        <v>22</v>
      </c>
      <c r="I102">
        <v>5137420648</v>
      </c>
      <c r="J102">
        <v>3004391078</v>
      </c>
      <c r="K102">
        <v>5137420648</v>
      </c>
      <c r="L102">
        <v>147496.28</v>
      </c>
      <c r="N102">
        <v>115699.17</v>
      </c>
    </row>
    <row r="103" spans="1:14" x14ac:dyDescent="0.35">
      <c r="A103">
        <v>3</v>
      </c>
      <c r="B103">
        <v>12</v>
      </c>
      <c r="H103" t="s">
        <v>23</v>
      </c>
      <c r="I103">
        <v>2200283718</v>
      </c>
      <c r="M103">
        <v>-4424.93</v>
      </c>
    </row>
    <row r="104" spans="1:14" x14ac:dyDescent="0.35">
      <c r="A104">
        <v>3</v>
      </c>
      <c r="B104">
        <v>12</v>
      </c>
      <c r="H104" t="s">
        <v>24</v>
      </c>
      <c r="I104">
        <v>2200284281</v>
      </c>
      <c r="M104">
        <v>-737.5</v>
      </c>
    </row>
    <row r="105" spans="1:14" x14ac:dyDescent="0.35">
      <c r="A105">
        <v>3</v>
      </c>
      <c r="B105">
        <v>12</v>
      </c>
      <c r="H105" t="s">
        <v>38</v>
      </c>
      <c r="I105">
        <v>2200285948</v>
      </c>
      <c r="M105">
        <v>-8038.57</v>
      </c>
    </row>
    <row r="106" spans="1:14" x14ac:dyDescent="0.35">
      <c r="A106">
        <v>3</v>
      </c>
      <c r="B106">
        <v>12</v>
      </c>
      <c r="H106" t="s">
        <v>25</v>
      </c>
      <c r="I106">
        <v>2200288106</v>
      </c>
      <c r="M106">
        <v>-8849.7800000000007</v>
      </c>
    </row>
    <row r="107" spans="1:14" x14ac:dyDescent="0.35">
      <c r="A107">
        <v>3</v>
      </c>
      <c r="B107">
        <v>12</v>
      </c>
      <c r="H107" t="s">
        <v>26</v>
      </c>
      <c r="I107">
        <v>2200289374</v>
      </c>
      <c r="M107">
        <v>-737.5</v>
      </c>
    </row>
    <row r="108" spans="1:14" x14ac:dyDescent="0.35">
      <c r="A108">
        <v>3</v>
      </c>
      <c r="B108">
        <v>12</v>
      </c>
      <c r="H108" t="s">
        <v>32</v>
      </c>
      <c r="I108">
        <v>2200292326</v>
      </c>
      <c r="M108">
        <v>-7224.13</v>
      </c>
    </row>
    <row r="109" spans="1:14" x14ac:dyDescent="0.35">
      <c r="A109">
        <v>3</v>
      </c>
      <c r="B109">
        <v>12</v>
      </c>
      <c r="H109" t="s">
        <v>28</v>
      </c>
      <c r="I109">
        <v>2200292980</v>
      </c>
      <c r="M109">
        <v>-737.5</v>
      </c>
    </row>
    <row r="110" spans="1:14" x14ac:dyDescent="0.35">
      <c r="A110">
        <v>3</v>
      </c>
      <c r="B110">
        <v>12</v>
      </c>
      <c r="H110" t="s">
        <v>39</v>
      </c>
      <c r="I110">
        <v>2200293185</v>
      </c>
      <c r="M110">
        <v>-1047.2</v>
      </c>
    </row>
    <row r="111" spans="1:14" x14ac:dyDescent="0.35">
      <c r="A111">
        <v>2</v>
      </c>
      <c r="B111">
        <v>13</v>
      </c>
      <c r="C111" s="2">
        <v>6001010000000</v>
      </c>
      <c r="D111" t="s">
        <v>36</v>
      </c>
      <c r="E111" t="s">
        <v>37</v>
      </c>
      <c r="F111" s="1">
        <v>45772</v>
      </c>
      <c r="G111" t="s">
        <v>21</v>
      </c>
      <c r="H111" t="s">
        <v>22</v>
      </c>
      <c r="I111">
        <v>5137520156</v>
      </c>
      <c r="J111">
        <v>3004397187</v>
      </c>
      <c r="K111">
        <v>5137520156</v>
      </c>
      <c r="L111">
        <v>43577.91</v>
      </c>
      <c r="N111">
        <v>34000.14</v>
      </c>
    </row>
    <row r="112" spans="1:14" x14ac:dyDescent="0.35">
      <c r="A112">
        <v>3</v>
      </c>
      <c r="B112">
        <v>13</v>
      </c>
      <c r="H112" t="s">
        <v>23</v>
      </c>
      <c r="I112">
        <v>2200308499</v>
      </c>
      <c r="M112">
        <v>-1307.3599999999999</v>
      </c>
    </row>
    <row r="113" spans="1:14" x14ac:dyDescent="0.35">
      <c r="A113">
        <v>3</v>
      </c>
      <c r="B113">
        <v>13</v>
      </c>
      <c r="H113" t="s">
        <v>24</v>
      </c>
      <c r="I113">
        <v>2200308786</v>
      </c>
      <c r="M113">
        <v>-217.9</v>
      </c>
    </row>
    <row r="114" spans="1:14" x14ac:dyDescent="0.35">
      <c r="A114">
        <v>3</v>
      </c>
      <c r="B114">
        <v>13</v>
      </c>
      <c r="H114" t="s">
        <v>38</v>
      </c>
      <c r="I114">
        <v>2200309426</v>
      </c>
      <c r="M114">
        <v>-2375.02</v>
      </c>
    </row>
    <row r="115" spans="1:14" x14ac:dyDescent="0.35">
      <c r="A115">
        <v>3</v>
      </c>
      <c r="B115">
        <v>13</v>
      </c>
      <c r="H115" t="s">
        <v>25</v>
      </c>
      <c r="I115">
        <v>2200310203</v>
      </c>
      <c r="M115">
        <v>-2614.6799999999998</v>
      </c>
    </row>
    <row r="116" spans="1:14" x14ac:dyDescent="0.35">
      <c r="A116">
        <v>3</v>
      </c>
      <c r="B116">
        <v>13</v>
      </c>
      <c r="H116" t="s">
        <v>26</v>
      </c>
      <c r="I116">
        <v>2200310754</v>
      </c>
      <c r="M116">
        <v>-217.9</v>
      </c>
    </row>
    <row r="117" spans="1:14" x14ac:dyDescent="0.35">
      <c r="A117">
        <v>3</v>
      </c>
      <c r="B117">
        <v>13</v>
      </c>
      <c r="H117" t="s">
        <v>32</v>
      </c>
      <c r="I117">
        <v>2200311785</v>
      </c>
      <c r="M117">
        <v>-2317.62</v>
      </c>
    </row>
    <row r="118" spans="1:14" x14ac:dyDescent="0.35">
      <c r="A118">
        <v>3</v>
      </c>
      <c r="B118">
        <v>13</v>
      </c>
      <c r="H118" t="s">
        <v>28</v>
      </c>
      <c r="I118">
        <v>2200312121</v>
      </c>
      <c r="M118">
        <v>-217.9</v>
      </c>
    </row>
    <row r="119" spans="1:14" x14ac:dyDescent="0.35">
      <c r="A119">
        <v>3</v>
      </c>
      <c r="B119">
        <v>13</v>
      </c>
      <c r="H119" t="s">
        <v>39</v>
      </c>
      <c r="I119">
        <v>2200312223</v>
      </c>
      <c r="M119">
        <v>-309.39</v>
      </c>
    </row>
    <row r="120" spans="1:14" x14ac:dyDescent="0.35">
      <c r="A120">
        <v>2</v>
      </c>
      <c r="B120">
        <v>14</v>
      </c>
      <c r="C120" s="2">
        <v>6001010000000</v>
      </c>
      <c r="D120" t="s">
        <v>34</v>
      </c>
      <c r="E120" t="s">
        <v>35</v>
      </c>
      <c r="F120" s="1">
        <v>45772</v>
      </c>
      <c r="G120" t="s">
        <v>21</v>
      </c>
      <c r="H120" t="s">
        <v>22</v>
      </c>
      <c r="I120">
        <v>5137524992</v>
      </c>
      <c r="J120">
        <v>3004399063</v>
      </c>
      <c r="K120">
        <v>5137524992</v>
      </c>
      <c r="L120">
        <v>613156.94999999995</v>
      </c>
      <c r="N120">
        <v>486879.47</v>
      </c>
    </row>
    <row r="121" spans="1:14" x14ac:dyDescent="0.35">
      <c r="A121">
        <v>3</v>
      </c>
      <c r="B121">
        <v>14</v>
      </c>
      <c r="H121" t="s">
        <v>23</v>
      </c>
      <c r="I121">
        <v>2200308498</v>
      </c>
      <c r="M121">
        <v>-18394.78</v>
      </c>
    </row>
    <row r="122" spans="1:14" x14ac:dyDescent="0.35">
      <c r="A122">
        <v>3</v>
      </c>
      <c r="B122">
        <v>14</v>
      </c>
      <c r="H122" t="s">
        <v>24</v>
      </c>
      <c r="I122">
        <v>2200308785</v>
      </c>
      <c r="M122">
        <v>-3065.81</v>
      </c>
    </row>
    <row r="123" spans="1:14" x14ac:dyDescent="0.35">
      <c r="A123">
        <v>3</v>
      </c>
      <c r="B123">
        <v>14</v>
      </c>
      <c r="H123" t="s">
        <v>31</v>
      </c>
      <c r="I123">
        <v>2200309425</v>
      </c>
      <c r="M123">
        <v>-29247.58</v>
      </c>
    </row>
    <row r="124" spans="1:14" x14ac:dyDescent="0.35">
      <c r="A124">
        <v>3</v>
      </c>
      <c r="B124">
        <v>14</v>
      </c>
      <c r="H124" t="s">
        <v>25</v>
      </c>
      <c r="I124">
        <v>2200310202</v>
      </c>
      <c r="M124">
        <v>-36789.42</v>
      </c>
    </row>
    <row r="125" spans="1:14" x14ac:dyDescent="0.35">
      <c r="A125">
        <v>3</v>
      </c>
      <c r="B125">
        <v>14</v>
      </c>
      <c r="H125" t="s">
        <v>26</v>
      </c>
      <c r="I125">
        <v>2200310753</v>
      </c>
      <c r="M125">
        <v>-3065.81</v>
      </c>
    </row>
    <row r="126" spans="1:14" x14ac:dyDescent="0.35">
      <c r="A126">
        <v>3</v>
      </c>
      <c r="B126">
        <v>14</v>
      </c>
      <c r="H126" t="s">
        <v>32</v>
      </c>
      <c r="I126">
        <v>2200311784</v>
      </c>
      <c r="M126">
        <v>-28785.4</v>
      </c>
    </row>
    <row r="127" spans="1:14" x14ac:dyDescent="0.35">
      <c r="A127">
        <v>3</v>
      </c>
      <c r="B127">
        <v>14</v>
      </c>
      <c r="H127" t="s">
        <v>28</v>
      </c>
      <c r="I127">
        <v>2200312120</v>
      </c>
      <c r="M127">
        <v>-3065.81</v>
      </c>
    </row>
    <row r="128" spans="1:14" x14ac:dyDescent="0.35">
      <c r="A128">
        <v>3</v>
      </c>
      <c r="B128">
        <v>14</v>
      </c>
      <c r="H128" t="s">
        <v>33</v>
      </c>
      <c r="I128">
        <v>2200312222</v>
      </c>
      <c r="M128">
        <v>-3862.87</v>
      </c>
    </row>
    <row r="129" spans="1:14" x14ac:dyDescent="0.35">
      <c r="A129">
        <v>2</v>
      </c>
      <c r="B129">
        <v>15</v>
      </c>
      <c r="C129" s="2">
        <v>6001010000000</v>
      </c>
      <c r="D129" t="s">
        <v>29</v>
      </c>
      <c r="E129" t="s">
        <v>30</v>
      </c>
      <c r="F129" s="1">
        <v>45776</v>
      </c>
      <c r="G129" t="s">
        <v>21</v>
      </c>
      <c r="H129" t="s">
        <v>22</v>
      </c>
      <c r="I129">
        <v>5137597211</v>
      </c>
      <c r="J129">
        <v>3004395991</v>
      </c>
      <c r="K129">
        <v>5137597211</v>
      </c>
      <c r="L129">
        <v>30731.23</v>
      </c>
      <c r="N129">
        <v>24344.080000000002</v>
      </c>
    </row>
    <row r="130" spans="1:14" x14ac:dyDescent="0.35">
      <c r="A130">
        <v>3</v>
      </c>
      <c r="B130">
        <v>15</v>
      </c>
      <c r="H130" t="s">
        <v>23</v>
      </c>
      <c r="I130">
        <v>2200326283</v>
      </c>
      <c r="M130">
        <v>-921.96</v>
      </c>
    </row>
    <row r="131" spans="1:14" x14ac:dyDescent="0.35">
      <c r="A131">
        <v>3</v>
      </c>
      <c r="B131">
        <v>15</v>
      </c>
      <c r="H131" t="s">
        <v>24</v>
      </c>
      <c r="I131">
        <v>2200326719</v>
      </c>
      <c r="M131">
        <v>-153.66</v>
      </c>
    </row>
    <row r="132" spans="1:14" x14ac:dyDescent="0.35">
      <c r="A132">
        <v>3</v>
      </c>
      <c r="B132">
        <v>15</v>
      </c>
      <c r="H132" t="s">
        <v>31</v>
      </c>
      <c r="I132">
        <v>2200328011</v>
      </c>
      <c r="M132">
        <v>-1465.89</v>
      </c>
    </row>
    <row r="133" spans="1:14" x14ac:dyDescent="0.35">
      <c r="A133">
        <v>3</v>
      </c>
      <c r="B133">
        <v>15</v>
      </c>
      <c r="H133" t="s">
        <v>25</v>
      </c>
      <c r="I133">
        <v>2200329676</v>
      </c>
      <c r="M133">
        <v>-1843.88</v>
      </c>
    </row>
    <row r="134" spans="1:14" x14ac:dyDescent="0.35">
      <c r="A134">
        <v>3</v>
      </c>
      <c r="B134">
        <v>15</v>
      </c>
      <c r="H134" t="s">
        <v>26</v>
      </c>
      <c r="I134">
        <v>2200330801</v>
      </c>
      <c r="M134">
        <v>-153.66</v>
      </c>
    </row>
    <row r="135" spans="1:14" x14ac:dyDescent="0.35">
      <c r="A135">
        <v>3</v>
      </c>
      <c r="B135">
        <v>15</v>
      </c>
      <c r="H135" t="s">
        <v>32</v>
      </c>
      <c r="I135">
        <v>2200333152</v>
      </c>
      <c r="M135">
        <v>-1500.83</v>
      </c>
    </row>
    <row r="136" spans="1:14" x14ac:dyDescent="0.35">
      <c r="A136">
        <v>3</v>
      </c>
      <c r="B136">
        <v>15</v>
      </c>
      <c r="H136" t="s">
        <v>28</v>
      </c>
      <c r="I136">
        <v>2200333709</v>
      </c>
      <c r="M136">
        <v>-153.66</v>
      </c>
    </row>
    <row r="137" spans="1:14" x14ac:dyDescent="0.35">
      <c r="A137">
        <v>3</v>
      </c>
      <c r="B137">
        <v>15</v>
      </c>
      <c r="H137" t="s">
        <v>33</v>
      </c>
      <c r="I137">
        <v>2200333886</v>
      </c>
      <c r="M137">
        <v>-193.61</v>
      </c>
    </row>
    <row r="138" spans="1:14" x14ac:dyDescent="0.35">
      <c r="A138">
        <v>2</v>
      </c>
      <c r="B138">
        <v>16</v>
      </c>
      <c r="C138" s="2">
        <v>6001010000000</v>
      </c>
      <c r="D138" t="s">
        <v>40</v>
      </c>
      <c r="E138" t="s">
        <v>41</v>
      </c>
      <c r="F138" s="1">
        <v>45806</v>
      </c>
      <c r="G138" t="s">
        <v>42</v>
      </c>
      <c r="H138" t="s">
        <v>43</v>
      </c>
      <c r="I138">
        <v>2201895576</v>
      </c>
      <c r="J138" t="s">
        <v>44</v>
      </c>
      <c r="K138" t="s">
        <v>45</v>
      </c>
      <c r="L138">
        <v>-5060</v>
      </c>
      <c r="N138">
        <v>-5060</v>
      </c>
    </row>
    <row r="139" spans="1:14" x14ac:dyDescent="0.35">
      <c r="A139">
        <v>4</v>
      </c>
      <c r="H139" t="s">
        <v>46</v>
      </c>
      <c r="M139">
        <v>-95125.11</v>
      </c>
    </row>
    <row r="140" spans="1:14" x14ac:dyDescent="0.35">
      <c r="A140">
        <v>4</v>
      </c>
      <c r="H140" t="s">
        <v>47</v>
      </c>
      <c r="M140">
        <v>-55897.58</v>
      </c>
    </row>
    <row r="141" spans="1:14" x14ac:dyDescent="0.35">
      <c r="A141">
        <v>4</v>
      </c>
      <c r="H141" t="s">
        <v>48</v>
      </c>
      <c r="M141">
        <v>-8356.7099999999991</v>
      </c>
    </row>
    <row r="142" spans="1:14" x14ac:dyDescent="0.35">
      <c r="A142">
        <v>4</v>
      </c>
      <c r="H142" t="s">
        <v>49</v>
      </c>
      <c r="M142">
        <v>-15854.35</v>
      </c>
    </row>
    <row r="143" spans="1:14" x14ac:dyDescent="0.35">
      <c r="A143">
        <v>4</v>
      </c>
      <c r="H143" t="s">
        <v>50</v>
      </c>
      <c r="M143">
        <v>-9316.36</v>
      </c>
    </row>
    <row r="144" spans="1:14" x14ac:dyDescent="0.35">
      <c r="A144">
        <v>4</v>
      </c>
      <c r="H144" t="s">
        <v>51</v>
      </c>
      <c r="M144">
        <v>-1392.89</v>
      </c>
    </row>
    <row r="145" spans="1:13" x14ac:dyDescent="0.35">
      <c r="A145">
        <v>4</v>
      </c>
      <c r="H145" t="s">
        <v>52</v>
      </c>
      <c r="M145">
        <v>-190248.93</v>
      </c>
    </row>
    <row r="146" spans="1:13" x14ac:dyDescent="0.35">
      <c r="A146">
        <v>4</v>
      </c>
      <c r="H146" t="s">
        <v>53</v>
      </c>
      <c r="M146">
        <v>-111794.69</v>
      </c>
    </row>
    <row r="147" spans="1:13" x14ac:dyDescent="0.35">
      <c r="A147">
        <v>4</v>
      </c>
      <c r="H147" t="s">
        <v>54</v>
      </c>
      <c r="M147">
        <v>-16712.73</v>
      </c>
    </row>
    <row r="148" spans="1:13" x14ac:dyDescent="0.35">
      <c r="A148">
        <v>4</v>
      </c>
      <c r="H148" t="s">
        <v>55</v>
      </c>
      <c r="M148">
        <v>-15854.35</v>
      </c>
    </row>
    <row r="149" spans="1:13" x14ac:dyDescent="0.35">
      <c r="A149">
        <v>4</v>
      </c>
      <c r="H149" t="s">
        <v>56</v>
      </c>
      <c r="M149">
        <v>-9316.36</v>
      </c>
    </row>
    <row r="150" spans="1:13" x14ac:dyDescent="0.35">
      <c r="A150">
        <v>4</v>
      </c>
      <c r="H150" t="s">
        <v>57</v>
      </c>
      <c r="M150">
        <v>-1392.89</v>
      </c>
    </row>
    <row r="151" spans="1:13" x14ac:dyDescent="0.35">
      <c r="A151">
        <v>4</v>
      </c>
      <c r="H151" t="s">
        <v>58</v>
      </c>
      <c r="M151">
        <v>-162633.03</v>
      </c>
    </row>
    <row r="152" spans="1:13" x14ac:dyDescent="0.35">
      <c r="A152">
        <v>4</v>
      </c>
      <c r="H152" t="s">
        <v>59</v>
      </c>
      <c r="M152">
        <v>-103872.47</v>
      </c>
    </row>
    <row r="153" spans="1:13" x14ac:dyDescent="0.35">
      <c r="A153">
        <v>4</v>
      </c>
      <c r="H153" t="s">
        <v>60</v>
      </c>
      <c r="M153">
        <v>-15541.5</v>
      </c>
    </row>
    <row r="154" spans="1:13" x14ac:dyDescent="0.35">
      <c r="A154">
        <v>4</v>
      </c>
      <c r="H154" t="s">
        <v>61</v>
      </c>
      <c r="M154">
        <v>-15854.35</v>
      </c>
    </row>
    <row r="155" spans="1:13" x14ac:dyDescent="0.35">
      <c r="A155">
        <v>4</v>
      </c>
      <c r="H155" t="s">
        <v>62</v>
      </c>
      <c r="M155">
        <v>-9316.36</v>
      </c>
    </row>
    <row r="156" spans="1:13" x14ac:dyDescent="0.35">
      <c r="A156">
        <v>4</v>
      </c>
      <c r="H156" t="s">
        <v>63</v>
      </c>
      <c r="M156">
        <v>-1392.89</v>
      </c>
    </row>
    <row r="157" spans="1:13" x14ac:dyDescent="0.35">
      <c r="A157">
        <v>4</v>
      </c>
      <c r="H157" t="s">
        <v>64</v>
      </c>
      <c r="M157">
        <v>-155639.54</v>
      </c>
    </row>
    <row r="158" spans="1:13" x14ac:dyDescent="0.35">
      <c r="A158">
        <v>4</v>
      </c>
      <c r="H158" t="s">
        <v>65</v>
      </c>
      <c r="M158">
        <v>-91906.63</v>
      </c>
    </row>
    <row r="159" spans="1:13" x14ac:dyDescent="0.35">
      <c r="A159">
        <v>4</v>
      </c>
      <c r="H159" t="s">
        <v>66</v>
      </c>
      <c r="M159">
        <v>-13786.17</v>
      </c>
    </row>
    <row r="160" spans="1:13" x14ac:dyDescent="0.35">
      <c r="A160">
        <v>4</v>
      </c>
      <c r="H160" t="s">
        <v>67</v>
      </c>
      <c r="M160">
        <v>-20488.32</v>
      </c>
    </row>
    <row r="161" spans="1:13" x14ac:dyDescent="0.35">
      <c r="A161">
        <v>4</v>
      </c>
      <c r="H161" t="s">
        <v>68</v>
      </c>
      <c r="M161">
        <v>-12090.56</v>
      </c>
    </row>
    <row r="162" spans="1:13" x14ac:dyDescent="0.35">
      <c r="A162">
        <v>4</v>
      </c>
      <c r="H162" t="s">
        <v>69</v>
      </c>
      <c r="M162">
        <v>-1813.45</v>
      </c>
    </row>
  </sheetData>
  <autoFilter ref="A1:N162" xr:uid="{E66BB8B3-3790-4678-A3E9-FABF2A498746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9AECD-C116-4F03-B73F-9DFAAE9B1414}">
  <dimension ref="A1:O13"/>
  <sheetViews>
    <sheetView tabSelected="1" workbookViewId="0">
      <selection activeCell="H6" sqref="H6:M12"/>
    </sheetView>
  </sheetViews>
  <sheetFormatPr defaultRowHeight="14.5" x14ac:dyDescent="0.35"/>
  <cols>
    <col min="5" max="5" width="18.7265625" customWidth="1"/>
    <col min="6" max="6" width="13.6328125" customWidth="1"/>
    <col min="7" max="7" width="12.26953125" bestFit="1" customWidth="1"/>
    <col min="8" max="8" width="20.54296875" bestFit="1" customWidth="1"/>
    <col min="9" max="9" width="12.81640625" bestFit="1" customWidth="1"/>
    <col min="10" max="10" width="15.54296875" bestFit="1" customWidth="1"/>
    <col min="11" max="11" width="35.81640625" bestFit="1" customWidth="1"/>
    <col min="12" max="12" width="13.1796875" style="4" bestFit="1" customWidth="1"/>
    <col min="13" max="13" width="12.7265625" style="4" customWidth="1"/>
    <col min="14" max="14" width="11.26953125" style="4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4" t="s">
        <v>11</v>
      </c>
      <c r="M1" s="4" t="s">
        <v>12</v>
      </c>
      <c r="N1" s="4" t="s">
        <v>13</v>
      </c>
      <c r="O1" t="s">
        <v>14</v>
      </c>
    </row>
    <row r="2" spans="1:15" x14ac:dyDescent="0.35">
      <c r="A2">
        <v>2</v>
      </c>
      <c r="B2">
        <v>16</v>
      </c>
      <c r="C2" s="2">
        <v>6001010000000</v>
      </c>
      <c r="D2" t="s">
        <v>40</v>
      </c>
      <c r="E2" t="s">
        <v>41</v>
      </c>
      <c r="F2" s="1">
        <v>45806</v>
      </c>
      <c r="G2" t="s">
        <v>42</v>
      </c>
      <c r="H2" t="s">
        <v>43</v>
      </c>
      <c r="I2">
        <v>2201895576</v>
      </c>
      <c r="J2" t="s">
        <v>44</v>
      </c>
      <c r="K2" s="6" t="s">
        <v>45</v>
      </c>
      <c r="L2" s="7">
        <v>-5060</v>
      </c>
      <c r="N2" s="4">
        <v>-5060</v>
      </c>
    </row>
    <row r="3" spans="1:15" x14ac:dyDescent="0.35">
      <c r="L3" s="5">
        <f>SUM(L2:L2)</f>
        <v>-5060</v>
      </c>
    </row>
    <row r="5" spans="1:15" x14ac:dyDescent="0.35">
      <c r="A5">
        <v>4</v>
      </c>
      <c r="H5" t="s">
        <v>46</v>
      </c>
      <c r="L5"/>
      <c r="M5" s="4">
        <v>-95125.11</v>
      </c>
      <c r="N5"/>
    </row>
    <row r="6" spans="1:15" x14ac:dyDescent="0.35">
      <c r="A6">
        <v>4</v>
      </c>
      <c r="H6" t="s">
        <v>49</v>
      </c>
      <c r="L6"/>
      <c r="M6" s="8">
        <v>-15854.35</v>
      </c>
      <c r="N6"/>
    </row>
    <row r="7" spans="1:15" x14ac:dyDescent="0.35">
      <c r="A7">
        <v>4</v>
      </c>
      <c r="H7" t="s">
        <v>52</v>
      </c>
      <c r="L7"/>
      <c r="M7" s="8">
        <v>-190248.93</v>
      </c>
      <c r="N7"/>
    </row>
    <row r="8" spans="1:15" x14ac:dyDescent="0.35">
      <c r="A8">
        <v>4</v>
      </c>
      <c r="H8" t="s">
        <v>55</v>
      </c>
      <c r="L8"/>
      <c r="M8" s="8">
        <v>-15854.35</v>
      </c>
      <c r="N8"/>
    </row>
    <row r="9" spans="1:15" x14ac:dyDescent="0.35">
      <c r="A9">
        <v>4</v>
      </c>
      <c r="H9" t="s">
        <v>58</v>
      </c>
      <c r="L9"/>
      <c r="M9" s="8">
        <v>-162633.03</v>
      </c>
      <c r="N9"/>
    </row>
    <row r="10" spans="1:15" x14ac:dyDescent="0.35">
      <c r="A10">
        <v>4</v>
      </c>
      <c r="H10" t="s">
        <v>61</v>
      </c>
      <c r="L10"/>
      <c r="M10" s="8">
        <v>-15854.35</v>
      </c>
      <c r="N10"/>
    </row>
    <row r="11" spans="1:15" x14ac:dyDescent="0.35">
      <c r="A11">
        <v>4</v>
      </c>
      <c r="H11" t="s">
        <v>64</v>
      </c>
      <c r="L11"/>
      <c r="M11" s="8">
        <v>-155639.54</v>
      </c>
      <c r="N11"/>
    </row>
    <row r="12" spans="1:15" x14ac:dyDescent="0.35">
      <c r="A12">
        <v>4</v>
      </c>
      <c r="H12" t="s">
        <v>67</v>
      </c>
      <c r="L12"/>
      <c r="M12" s="8">
        <v>-20488.32</v>
      </c>
      <c r="N12"/>
    </row>
    <row r="13" spans="1:15" x14ac:dyDescent="0.35">
      <c r="M13" s="5">
        <f>SUM(M5:M12)</f>
        <v>-671697.98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78D49-892B-41D6-96DB-2739F1C0DDEC}">
  <dimension ref="A1:O28"/>
  <sheetViews>
    <sheetView workbookViewId="0">
      <selection activeCell="C8" sqref="C8"/>
    </sheetView>
  </sheetViews>
  <sheetFormatPr defaultRowHeight="14.5" x14ac:dyDescent="0.35"/>
  <cols>
    <col min="5" max="5" width="31" bestFit="1" customWidth="1"/>
    <col min="6" max="6" width="16.90625" customWidth="1"/>
    <col min="8" max="8" width="21.36328125" customWidth="1"/>
    <col min="9" max="9" width="12.81640625" bestFit="1" customWidth="1"/>
    <col min="10" max="10" width="15.54296875" bestFit="1" customWidth="1"/>
    <col min="11" max="11" width="11" bestFit="1" customWidth="1"/>
    <col min="12" max="12" width="15" style="4" bestFit="1" customWidth="1"/>
    <col min="13" max="13" width="8.81640625" style="4"/>
    <col min="14" max="14" width="11.26953125" style="4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4" t="s">
        <v>11</v>
      </c>
      <c r="M1" s="4" t="s">
        <v>12</v>
      </c>
      <c r="N1" s="4" t="s">
        <v>13</v>
      </c>
      <c r="O1" t="s">
        <v>14</v>
      </c>
    </row>
    <row r="2" spans="1:15" x14ac:dyDescent="0.35">
      <c r="A2">
        <v>2</v>
      </c>
      <c r="B2">
        <v>1</v>
      </c>
      <c r="C2" s="2">
        <v>6001010000000</v>
      </c>
      <c r="D2" t="s">
        <v>19</v>
      </c>
      <c r="E2" t="s">
        <v>20</v>
      </c>
      <c r="F2" s="1">
        <v>45761</v>
      </c>
      <c r="G2" t="s">
        <v>21</v>
      </c>
      <c r="H2" t="s">
        <v>22</v>
      </c>
      <c r="I2">
        <v>5137199642</v>
      </c>
      <c r="J2">
        <v>3004368100</v>
      </c>
      <c r="K2">
        <v>5137199642</v>
      </c>
      <c r="L2" s="4">
        <v>6262.2</v>
      </c>
      <c r="N2" s="4">
        <v>5341.66</v>
      </c>
    </row>
    <row r="3" spans="1:15" x14ac:dyDescent="0.35">
      <c r="A3">
        <v>2</v>
      </c>
      <c r="B3">
        <v>2</v>
      </c>
      <c r="C3" s="2">
        <v>6001010000000</v>
      </c>
      <c r="D3" t="s">
        <v>29</v>
      </c>
      <c r="E3" t="s">
        <v>30</v>
      </c>
      <c r="F3" s="1">
        <v>45748</v>
      </c>
      <c r="G3" t="s">
        <v>21</v>
      </c>
      <c r="H3" t="s">
        <v>22</v>
      </c>
      <c r="I3">
        <v>5136805891</v>
      </c>
      <c r="J3">
        <v>3004352783</v>
      </c>
      <c r="K3">
        <v>5136805891</v>
      </c>
      <c r="L3" s="4">
        <v>83389.58</v>
      </c>
      <c r="N3" s="4">
        <v>65809.86</v>
      </c>
    </row>
    <row r="4" spans="1:15" x14ac:dyDescent="0.35">
      <c r="A4">
        <v>2</v>
      </c>
      <c r="B4">
        <v>3</v>
      </c>
      <c r="C4" s="2">
        <v>6001010000000</v>
      </c>
      <c r="D4" t="s">
        <v>34</v>
      </c>
      <c r="E4" t="s">
        <v>35</v>
      </c>
      <c r="F4" s="1">
        <v>45749</v>
      </c>
      <c r="G4" t="s">
        <v>21</v>
      </c>
      <c r="H4" t="s">
        <v>22</v>
      </c>
      <c r="I4">
        <v>5136852786</v>
      </c>
      <c r="J4">
        <v>3004363053</v>
      </c>
      <c r="K4">
        <v>5136852786</v>
      </c>
      <c r="L4" s="4">
        <v>336619.35</v>
      </c>
      <c r="N4" s="4">
        <v>266065.67</v>
      </c>
    </row>
    <row r="5" spans="1:15" x14ac:dyDescent="0.35">
      <c r="A5">
        <v>2</v>
      </c>
      <c r="B5">
        <v>4</v>
      </c>
      <c r="C5" s="2">
        <v>6001010000000</v>
      </c>
      <c r="D5" t="s">
        <v>36</v>
      </c>
      <c r="E5" t="s">
        <v>37</v>
      </c>
      <c r="F5" s="1">
        <v>45751</v>
      </c>
      <c r="G5" t="s">
        <v>21</v>
      </c>
      <c r="H5" t="s">
        <v>22</v>
      </c>
      <c r="I5">
        <v>5136927542</v>
      </c>
      <c r="J5">
        <v>3004366497</v>
      </c>
      <c r="K5">
        <v>5136927542</v>
      </c>
      <c r="L5" s="4">
        <v>253702.71</v>
      </c>
      <c r="N5" s="4">
        <v>197678.51</v>
      </c>
    </row>
    <row r="6" spans="1:15" x14ac:dyDescent="0.35">
      <c r="A6">
        <v>2</v>
      </c>
      <c r="B6">
        <v>5</v>
      </c>
      <c r="C6" s="2">
        <v>6001010000000</v>
      </c>
      <c r="D6" t="s">
        <v>29</v>
      </c>
      <c r="E6" t="s">
        <v>30</v>
      </c>
      <c r="F6" s="1">
        <v>45755</v>
      </c>
      <c r="G6" t="s">
        <v>21</v>
      </c>
      <c r="H6" t="s">
        <v>22</v>
      </c>
      <c r="I6">
        <v>5137018142</v>
      </c>
      <c r="J6">
        <v>3004366226</v>
      </c>
      <c r="K6">
        <v>5137018142</v>
      </c>
      <c r="L6" s="4">
        <v>136639.23000000001</v>
      </c>
      <c r="N6" s="4">
        <v>108295.71</v>
      </c>
    </row>
    <row r="7" spans="1:15" x14ac:dyDescent="0.35">
      <c r="A7">
        <v>2</v>
      </c>
      <c r="B7">
        <v>6</v>
      </c>
      <c r="C7" s="2">
        <v>6001010000000</v>
      </c>
      <c r="D7" t="s">
        <v>36</v>
      </c>
      <c r="E7" t="s">
        <v>37</v>
      </c>
      <c r="F7" s="1">
        <v>45758</v>
      </c>
      <c r="G7" t="s">
        <v>21</v>
      </c>
      <c r="H7" t="s">
        <v>22</v>
      </c>
      <c r="I7">
        <v>5137139067</v>
      </c>
      <c r="J7">
        <v>3004373976</v>
      </c>
      <c r="K7">
        <v>5137139067</v>
      </c>
      <c r="L7" s="4">
        <v>244953.39</v>
      </c>
      <c r="N7" s="4">
        <v>190847.92</v>
      </c>
    </row>
    <row r="8" spans="1:15" x14ac:dyDescent="0.35">
      <c r="A8">
        <v>2</v>
      </c>
      <c r="B8">
        <v>7</v>
      </c>
      <c r="C8" s="2">
        <v>6001010000000</v>
      </c>
      <c r="D8" t="s">
        <v>34</v>
      </c>
      <c r="E8" t="s">
        <v>35</v>
      </c>
      <c r="F8" s="1">
        <v>45761</v>
      </c>
      <c r="G8" t="s">
        <v>21</v>
      </c>
      <c r="H8" t="s">
        <v>22</v>
      </c>
      <c r="I8">
        <v>5137204881</v>
      </c>
      <c r="J8">
        <v>3004378693</v>
      </c>
      <c r="K8">
        <v>5137204881</v>
      </c>
      <c r="L8" s="4">
        <v>304185.55</v>
      </c>
      <c r="N8" s="4">
        <v>239761.82</v>
      </c>
    </row>
    <row r="9" spans="1:15" x14ac:dyDescent="0.35">
      <c r="A9">
        <v>2</v>
      </c>
      <c r="B9">
        <v>8</v>
      </c>
      <c r="C9" s="2">
        <v>6001010000000</v>
      </c>
      <c r="D9" t="s">
        <v>34</v>
      </c>
      <c r="E9" t="s">
        <v>35</v>
      </c>
      <c r="F9" s="1">
        <v>45764</v>
      </c>
      <c r="G9" t="s">
        <v>21</v>
      </c>
      <c r="H9" t="s">
        <v>22</v>
      </c>
      <c r="I9">
        <v>5137326510</v>
      </c>
      <c r="J9">
        <v>3004387638</v>
      </c>
      <c r="K9">
        <v>5137326510</v>
      </c>
      <c r="L9" s="4">
        <v>523477.78</v>
      </c>
      <c r="N9" s="4">
        <v>413161.93</v>
      </c>
    </row>
    <row r="10" spans="1:15" x14ac:dyDescent="0.35">
      <c r="A10">
        <v>2</v>
      </c>
      <c r="B10">
        <v>9</v>
      </c>
      <c r="C10" s="2">
        <v>6001010000000</v>
      </c>
      <c r="D10" t="s">
        <v>29</v>
      </c>
      <c r="E10" t="s">
        <v>30</v>
      </c>
      <c r="F10" s="1">
        <v>45766</v>
      </c>
      <c r="G10" t="s">
        <v>21</v>
      </c>
      <c r="H10" t="s">
        <v>22</v>
      </c>
      <c r="I10">
        <v>5137353292</v>
      </c>
      <c r="J10">
        <v>3004381497</v>
      </c>
      <c r="K10">
        <v>5137353292</v>
      </c>
      <c r="L10" s="4">
        <v>45089.66</v>
      </c>
      <c r="N10" s="4">
        <v>35582.080000000002</v>
      </c>
    </row>
    <row r="11" spans="1:15" x14ac:dyDescent="0.35">
      <c r="A11">
        <v>2</v>
      </c>
      <c r="B11">
        <v>10</v>
      </c>
      <c r="C11" s="2">
        <v>6001010000000</v>
      </c>
      <c r="D11" t="s">
        <v>29</v>
      </c>
      <c r="E11" t="s">
        <v>30</v>
      </c>
      <c r="F11" s="1">
        <v>45766</v>
      </c>
      <c r="G11" t="s">
        <v>21</v>
      </c>
      <c r="H11" t="s">
        <v>22</v>
      </c>
      <c r="I11">
        <v>5137353432</v>
      </c>
      <c r="J11">
        <v>3004384777</v>
      </c>
      <c r="K11">
        <v>5137353432</v>
      </c>
      <c r="L11" s="4">
        <v>68985.490000000005</v>
      </c>
      <c r="N11" s="4">
        <v>54289.11</v>
      </c>
    </row>
    <row r="12" spans="1:15" x14ac:dyDescent="0.35">
      <c r="A12">
        <v>2</v>
      </c>
      <c r="B12">
        <v>11</v>
      </c>
      <c r="C12" s="2">
        <v>6001010000000</v>
      </c>
      <c r="D12" t="s">
        <v>34</v>
      </c>
      <c r="E12" t="s">
        <v>35</v>
      </c>
      <c r="F12" s="1">
        <v>45769</v>
      </c>
      <c r="G12" t="s">
        <v>21</v>
      </c>
      <c r="H12" t="s">
        <v>22</v>
      </c>
      <c r="I12">
        <v>5137413242</v>
      </c>
      <c r="J12" s="3">
        <v>3004390910</v>
      </c>
      <c r="K12">
        <v>5137413242</v>
      </c>
      <c r="L12" s="4">
        <v>332548.94</v>
      </c>
      <c r="N12" s="4">
        <v>261361.14</v>
      </c>
    </row>
    <row r="13" spans="1:15" x14ac:dyDescent="0.35">
      <c r="A13">
        <v>2</v>
      </c>
      <c r="B13">
        <v>12</v>
      </c>
      <c r="C13" s="2">
        <v>6001010000000</v>
      </c>
      <c r="D13" t="s">
        <v>36</v>
      </c>
      <c r="E13" t="s">
        <v>37</v>
      </c>
      <c r="F13" s="1">
        <v>45769</v>
      </c>
      <c r="G13" t="s">
        <v>21</v>
      </c>
      <c r="H13" t="s">
        <v>22</v>
      </c>
      <c r="I13">
        <v>5137420648</v>
      </c>
      <c r="J13">
        <v>3004391078</v>
      </c>
      <c r="K13">
        <v>5137420648</v>
      </c>
      <c r="L13" s="4">
        <v>147496.28</v>
      </c>
      <c r="N13" s="4">
        <v>115699.17</v>
      </c>
    </row>
    <row r="14" spans="1:15" x14ac:dyDescent="0.35">
      <c r="A14">
        <v>2</v>
      </c>
      <c r="B14">
        <v>13</v>
      </c>
      <c r="C14" s="2">
        <v>6001010000000</v>
      </c>
      <c r="D14" t="s">
        <v>36</v>
      </c>
      <c r="E14" t="s">
        <v>37</v>
      </c>
      <c r="F14" s="1">
        <v>45772</v>
      </c>
      <c r="G14" t="s">
        <v>21</v>
      </c>
      <c r="H14" t="s">
        <v>22</v>
      </c>
      <c r="I14">
        <v>5137520156</v>
      </c>
      <c r="J14">
        <v>3004397187</v>
      </c>
      <c r="K14">
        <v>5137520156</v>
      </c>
      <c r="L14" s="4">
        <v>43577.91</v>
      </c>
      <c r="N14" s="4">
        <v>34000.14</v>
      </c>
    </row>
    <row r="15" spans="1:15" x14ac:dyDescent="0.35">
      <c r="A15">
        <v>2</v>
      </c>
      <c r="B15">
        <v>14</v>
      </c>
      <c r="C15" s="2">
        <v>6001010000000</v>
      </c>
      <c r="D15" t="s">
        <v>34</v>
      </c>
      <c r="E15" t="s">
        <v>35</v>
      </c>
      <c r="F15" s="1">
        <v>45772</v>
      </c>
      <c r="G15" t="s">
        <v>21</v>
      </c>
      <c r="H15" t="s">
        <v>22</v>
      </c>
      <c r="I15">
        <v>5137524992</v>
      </c>
      <c r="J15">
        <v>3004399063</v>
      </c>
      <c r="K15">
        <v>5137524992</v>
      </c>
      <c r="L15" s="4">
        <v>613156.94999999995</v>
      </c>
      <c r="N15" s="4">
        <v>486879.47</v>
      </c>
    </row>
    <row r="16" spans="1:15" x14ac:dyDescent="0.35">
      <c r="A16">
        <v>2</v>
      </c>
      <c r="B16">
        <v>15</v>
      </c>
      <c r="C16" s="2">
        <v>6001010000000</v>
      </c>
      <c r="D16" t="s">
        <v>29</v>
      </c>
      <c r="E16" t="s">
        <v>30</v>
      </c>
      <c r="F16" s="1">
        <v>45776</v>
      </c>
      <c r="G16" t="s">
        <v>21</v>
      </c>
      <c r="H16" t="s">
        <v>22</v>
      </c>
      <c r="I16">
        <v>5137597211</v>
      </c>
      <c r="J16">
        <v>3004395991</v>
      </c>
      <c r="K16">
        <v>5137597211</v>
      </c>
      <c r="L16" s="4">
        <v>30731.23</v>
      </c>
      <c r="N16" s="4">
        <v>24344.080000000002</v>
      </c>
    </row>
    <row r="17" spans="11:12" x14ac:dyDescent="0.35">
      <c r="L17" s="5">
        <f>SUM(L2:L16)</f>
        <v>3170816.2499999995</v>
      </c>
    </row>
    <row r="25" spans="11:12" x14ac:dyDescent="0.35">
      <c r="K25" t="s">
        <v>70</v>
      </c>
      <c r="L25" s="4">
        <v>3170816.25</v>
      </c>
    </row>
    <row r="26" spans="11:12" x14ac:dyDescent="0.35">
      <c r="K26" t="s">
        <v>71</v>
      </c>
      <c r="L26" s="4">
        <v>-5060</v>
      </c>
    </row>
    <row r="27" spans="11:12" x14ac:dyDescent="0.35">
      <c r="K27" t="s">
        <v>72</v>
      </c>
      <c r="L27" s="4">
        <v>-671697.98</v>
      </c>
    </row>
    <row r="28" spans="11:12" x14ac:dyDescent="0.35">
      <c r="K28" t="s">
        <v>73</v>
      </c>
      <c r="L28" s="5">
        <f>SUM(L25:L27)</f>
        <v>2494058.27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E257E958E1FC47A2EBD7E42FA57CAB" ma:contentTypeVersion="15" ma:contentTypeDescription="Create a new document." ma:contentTypeScope="" ma:versionID="03a50d5b3b022a85e999ab28d2f85658">
  <xsd:schema xmlns:xsd="http://www.w3.org/2001/XMLSchema" xmlns:xs="http://www.w3.org/2001/XMLSchema" xmlns:p="http://schemas.microsoft.com/office/2006/metadata/properties" xmlns:ns2="61c2b26a-c47a-4a8e-914d-1c50d1a544ae" xmlns:ns3="c20f5f16-bb4c-4483-bf44-8fda0c011d77" targetNamespace="http://schemas.microsoft.com/office/2006/metadata/properties" ma:root="true" ma:fieldsID="cc462caa3434bf583ebb18ed6df66b31" ns2:_="" ns3:_="">
    <xsd:import namespace="61c2b26a-c47a-4a8e-914d-1c50d1a544ae"/>
    <xsd:import namespace="c20f5f16-bb4c-4483-bf44-8fda0c011d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c2b26a-c47a-4a8e-914d-1c50d1a544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ea166bbd-2617-48c1-9d9c-26cd5c3e76d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0f5f16-bb4c-4483-bf44-8fda0c011d77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83279a9-6571-4832-a1b0-4438941ab8de}" ma:internalName="TaxCatchAll" ma:showField="CatchAllData" ma:web="c20f5f16-bb4c-4483-bf44-8fda0c011d7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c2b26a-c47a-4a8e-914d-1c50d1a544ae">
      <Terms xmlns="http://schemas.microsoft.com/office/infopath/2007/PartnerControls"/>
    </lcf76f155ced4ddcb4097134ff3c332f>
    <TaxCatchAll xmlns="c20f5f16-bb4c-4483-bf44-8fda0c011d77" xsi:nil="true"/>
  </documentManagement>
</p:properties>
</file>

<file path=customXml/itemProps1.xml><?xml version="1.0" encoding="utf-8"?>
<ds:datastoreItem xmlns:ds="http://schemas.openxmlformats.org/officeDocument/2006/customXml" ds:itemID="{BD0AF5C3-23B6-45CE-B929-E19C2A735B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c2b26a-c47a-4a8e-914d-1c50d1a544ae"/>
    <ds:schemaRef ds:uri="c20f5f16-bb4c-4483-bf44-8fda0c011d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DE4783D-F1A8-4186-AB25-49473B0C48E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2A832ED-1256-4CEC-8C33-71E7B22D82D7}">
  <ds:schemaRefs>
    <ds:schemaRef ds:uri="http://schemas.microsoft.com/office/2006/metadata/properties"/>
    <ds:schemaRef ds:uri="http://schemas.microsoft.com/office/infopath/2007/PartnerControls"/>
    <ds:schemaRef ds:uri="61c2b26a-c47a-4a8e-914d-1c50d1a544ae"/>
    <ds:schemaRef ds:uri="c20f5f16-bb4c-4483-bf44-8fda0c011d7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PnP_RemittanceAdvices R2,494,05</vt:lpstr>
      <vt:lpstr>Claims to be raised</vt:lpstr>
      <vt:lpstr>Inv paid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Nambitha Galo</dc:creator>
  <cp:keywords/>
  <dc:description/>
  <cp:lastModifiedBy>Minka Kitching</cp:lastModifiedBy>
  <cp:revision/>
  <dcterms:created xsi:type="dcterms:W3CDTF">2025-06-09T08:12:56Z</dcterms:created>
  <dcterms:modified xsi:type="dcterms:W3CDTF">2025-10-03T10:11:53Z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0x0101003CE257E958E1FC47A2EBD7E42FA57CAB</vt:lpwstr>
  </property>
  <property fmtid="{D5CDD505-2E9C-101B-9397-08002B2CF9AE}" pid="3" name="Order">
    <vt:r8>8488200</vt:r8>
  </property>
  <property fmtid="{D5CDD505-2E9C-101B-9397-08002B2CF9AE}" pid="4" name="MediaServiceImageTags">
    <vt:lpwstr/>
  </property>
</Properties>
</file>